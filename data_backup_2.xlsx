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atrial\CompressZNS\"/>
    </mc:Choice>
  </mc:AlternateContent>
  <xr:revisionPtr revIDLastSave="0" documentId="13_ncr:1_{E7259393-0D37-477A-8860-5CCAC6E2177F}" xr6:coauthVersionLast="47" xr6:coauthVersionMax="47" xr10:uidLastSave="{00000000-0000-0000-0000-000000000000}"/>
  <bookViews>
    <workbookView xWindow="3120" yWindow="1020" windowWidth="46335" windowHeight="20580" activeTab="3" xr2:uid="{1C316102-5C29-4F98-88FF-E90AA285CB51}"/>
  </bookViews>
  <sheets>
    <sheet name="Sheet1" sheetId="1" r:id="rId1"/>
    <sheet name="高并发读性能对比" sheetId="2" r:id="rId2"/>
    <sheet name="不同workload写性能" sheetId="3" r:id="rId3"/>
    <sheet name="Sheet2" sheetId="6" r:id="rId4"/>
    <sheet name="Balloon-ZNS" sheetId="5" r:id="rId5"/>
    <sheet name="学习索引accuracy和内存占用" sheetId="4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556" i="3" l="1"/>
  <c r="E556" i="3"/>
  <c r="D549" i="3"/>
  <c r="E549" i="3"/>
  <c r="D542" i="3"/>
  <c r="E542" i="3"/>
  <c r="D528" i="3"/>
  <c r="E528" i="3"/>
  <c r="D521" i="3"/>
  <c r="E521" i="3"/>
  <c r="D514" i="3"/>
  <c r="E514" i="3"/>
  <c r="D507" i="3"/>
  <c r="E507" i="3"/>
  <c r="D554" i="3"/>
  <c r="D547" i="3"/>
  <c r="D540" i="3"/>
  <c r="D526" i="3"/>
  <c r="D519" i="3"/>
  <c r="D512" i="3"/>
  <c r="E505" i="3"/>
  <c r="D505" i="3"/>
  <c r="D497" i="3"/>
  <c r="D490" i="3"/>
  <c r="D483" i="3"/>
  <c r="D476" i="3"/>
  <c r="D463" i="3"/>
  <c r="E463" i="3"/>
  <c r="D456" i="3"/>
  <c r="E456" i="3"/>
  <c r="D449" i="3"/>
  <c r="E449" i="3"/>
  <c r="D442" i="3"/>
  <c r="E442" i="3"/>
  <c r="E427" i="3"/>
  <c r="E420" i="3"/>
  <c r="E413" i="3"/>
  <c r="E434" i="3"/>
  <c r="D434" i="3" s="1"/>
  <c r="D427" i="3"/>
  <c r="D420" i="3"/>
  <c r="D413" i="3"/>
  <c r="D461" i="3"/>
  <c r="D454" i="3"/>
  <c r="D447" i="3"/>
  <c r="E447" i="3"/>
  <c r="E440" i="3"/>
  <c r="D440" i="3"/>
  <c r="D432" i="3"/>
  <c r="D425" i="3"/>
  <c r="E425" i="3"/>
  <c r="D418" i="3"/>
  <c r="E418" i="3"/>
  <c r="E411" i="3"/>
  <c r="D411" i="3"/>
  <c r="D403" i="3"/>
  <c r="D396" i="3"/>
  <c r="D389" i="3"/>
  <c r="D382" i="3"/>
  <c r="E389" i="3"/>
  <c r="Z382" i="3"/>
  <c r="Y382" i="3"/>
  <c r="X382" i="3"/>
  <c r="D366" i="3"/>
  <c r="E366" i="3"/>
  <c r="D359" i="3"/>
  <c r="E359" i="3"/>
  <c r="D352" i="3"/>
  <c r="E352" i="3"/>
  <c r="D346" i="3"/>
  <c r="E346" i="3"/>
  <c r="E318" i="3"/>
  <c r="D339" i="3"/>
  <c r="E339" i="3"/>
  <c r="D332" i="3"/>
  <c r="E332" i="3"/>
  <c r="D325" i="3"/>
  <c r="E325" i="3"/>
  <c r="D318" i="3"/>
  <c r="D308" i="3"/>
  <c r="D364" i="3"/>
  <c r="E364" i="3"/>
  <c r="D357" i="3"/>
  <c r="D350" i="3"/>
  <c r="E357" i="3"/>
  <c r="E350" i="3"/>
  <c r="D344" i="3"/>
  <c r="E344" i="3"/>
  <c r="D337" i="3"/>
  <c r="D330" i="3"/>
  <c r="D323" i="3"/>
  <c r="E337" i="3"/>
  <c r="E330" i="3"/>
  <c r="E308" i="3"/>
  <c r="E301" i="3"/>
  <c r="E323" i="3"/>
  <c r="D301" i="3"/>
  <c r="D294" i="3"/>
  <c r="E294" i="3"/>
  <c r="E287" i="3"/>
  <c r="D287" i="3"/>
  <c r="E264" i="3"/>
  <c r="D264" i="3"/>
  <c r="E257" i="3"/>
  <c r="D257" i="3"/>
  <c r="D250" i="3"/>
  <c r="E250" i="3"/>
  <c r="E243" i="3"/>
  <c r="E229" i="3"/>
  <c r="D236" i="3"/>
  <c r="D229" i="3"/>
  <c r="E236" i="3"/>
  <c r="E222" i="3"/>
  <c r="D222" i="3" s="1"/>
  <c r="E215" i="3"/>
  <c r="D262" i="3"/>
  <c r="D255" i="3"/>
  <c r="E255" i="3"/>
  <c r="E248" i="3"/>
  <c r="D248" i="3" s="1"/>
  <c r="D241" i="3"/>
  <c r="E241" i="3"/>
  <c r="D234" i="3"/>
  <c r="E234" i="3"/>
  <c r="D227" i="3"/>
  <c r="E227" i="3"/>
  <c r="D220" i="3"/>
  <c r="E220" i="3"/>
  <c r="AA213" i="3"/>
  <c r="Z213" i="3"/>
  <c r="L213" i="3"/>
  <c r="M213" i="3"/>
  <c r="N213" i="3"/>
  <c r="O213" i="3"/>
  <c r="P213" i="3"/>
  <c r="Q213" i="3"/>
  <c r="R213" i="3"/>
  <c r="S213" i="3"/>
  <c r="T213" i="3"/>
  <c r="U213" i="3"/>
  <c r="V213" i="3"/>
  <c r="W213" i="3"/>
  <c r="X213" i="3"/>
  <c r="Y213" i="3"/>
  <c r="K213" i="3"/>
  <c r="D213" i="3"/>
  <c r="E213" i="3"/>
  <c r="D205" i="3"/>
  <c r="D198" i="3"/>
  <c r="E198" i="3"/>
  <c r="D191" i="3"/>
  <c r="E191" i="3"/>
  <c r="Y184" i="3"/>
  <c r="Z184" i="3"/>
  <c r="AA184" i="3"/>
  <c r="X184" i="3"/>
  <c r="E184" i="3"/>
  <c r="F184" i="3"/>
  <c r="D184" i="3"/>
  <c r="D84" i="3"/>
  <c r="E84" i="3"/>
  <c r="D76" i="3"/>
  <c r="E76" i="3"/>
  <c r="E69" i="3"/>
  <c r="D69" i="3"/>
  <c r="E62" i="3"/>
  <c r="D62" i="3"/>
  <c r="D54" i="3"/>
  <c r="E54" i="3"/>
  <c r="D48" i="3"/>
  <c r="E48" i="3"/>
  <c r="E42" i="3"/>
  <c r="D42" i="3"/>
  <c r="E35" i="3"/>
  <c r="D35" i="3"/>
  <c r="D82" i="3"/>
  <c r="D74" i="3"/>
  <c r="D67" i="3"/>
  <c r="D61" i="3"/>
  <c r="D60" i="3"/>
  <c r="D46" i="3"/>
  <c r="D40" i="3"/>
  <c r="AA33" i="3"/>
  <c r="Z33" i="3"/>
  <c r="Y33" i="3"/>
  <c r="X33" i="3"/>
  <c r="W33" i="3"/>
  <c r="V33" i="3"/>
  <c r="U33" i="3"/>
  <c r="T33" i="3"/>
  <c r="S33" i="3"/>
  <c r="R33" i="3"/>
  <c r="Q33" i="3"/>
  <c r="P33" i="3"/>
  <c r="O33" i="3"/>
  <c r="N33" i="3"/>
  <c r="M33" i="3"/>
  <c r="L33" i="3"/>
  <c r="K33" i="3"/>
  <c r="F17" i="3"/>
  <c r="D33" i="3"/>
  <c r="D22" i="3"/>
  <c r="D17" i="3"/>
  <c r="D16" i="3"/>
  <c r="D10" i="3"/>
  <c r="D4" i="3"/>
  <c r="E4" i="3"/>
  <c r="D102" i="4"/>
  <c r="E102" i="4"/>
  <c r="D103" i="4"/>
  <c r="E103" i="4"/>
  <c r="D97" i="4"/>
  <c r="E97" i="4"/>
  <c r="D96" i="4"/>
  <c r="E96" i="4"/>
  <c r="D91" i="4"/>
  <c r="E91" i="4"/>
  <c r="D84" i="4"/>
  <c r="E84" i="4"/>
  <c r="D74" i="4"/>
  <c r="E74" i="4"/>
  <c r="D73" i="4"/>
  <c r="E73" i="4"/>
  <c r="D60" i="4"/>
  <c r="E60" i="4"/>
  <c r="D54" i="4"/>
  <c r="E54" i="4"/>
  <c r="D48" i="4"/>
  <c r="E48" i="4"/>
  <c r="D42" i="4"/>
  <c r="E42" i="4"/>
  <c r="D31" i="4"/>
  <c r="E31" i="4"/>
  <c r="D59" i="4"/>
  <c r="E59" i="4"/>
  <c r="D53" i="4"/>
  <c r="E53" i="4"/>
  <c r="D41" i="4"/>
  <c r="E41" i="4"/>
  <c r="D30" i="4"/>
  <c r="E30" i="4"/>
  <c r="Z534" i="3"/>
  <c r="Y534" i="3"/>
  <c r="X534" i="3"/>
  <c r="W534" i="3"/>
  <c r="V534" i="3"/>
  <c r="U534" i="3"/>
  <c r="T534" i="3"/>
  <c r="D534" i="3"/>
  <c r="AA506" i="3"/>
  <c r="Z506" i="3"/>
  <c r="Y506" i="3"/>
  <c r="X506" i="3"/>
  <c r="Z441" i="3"/>
  <c r="Y441" i="3"/>
  <c r="X441" i="3"/>
  <c r="W441" i="3"/>
  <c r="V441" i="3"/>
  <c r="U441" i="3"/>
  <c r="T441" i="3"/>
  <c r="AA412" i="3"/>
  <c r="Z412" i="3"/>
  <c r="Y412" i="3"/>
  <c r="X412" i="3"/>
  <c r="Z345" i="3"/>
  <c r="Y345" i="3"/>
  <c r="X345" i="3"/>
  <c r="W345" i="3"/>
  <c r="V345" i="3"/>
  <c r="U345" i="3"/>
  <c r="T345" i="3"/>
  <c r="Z317" i="3"/>
  <c r="Y317" i="3"/>
  <c r="X317" i="3"/>
  <c r="AA317" i="3"/>
  <c r="L61" i="3"/>
  <c r="L534" i="3" s="1"/>
  <c r="M61" i="3"/>
  <c r="M534" i="3" s="1"/>
  <c r="N61" i="3"/>
  <c r="N441" i="3" s="1"/>
  <c r="O61" i="3"/>
  <c r="O345" i="3" s="1"/>
  <c r="P61" i="3"/>
  <c r="P534" i="3" s="1"/>
  <c r="Q61" i="3"/>
  <c r="Q441" i="3" s="1"/>
  <c r="R61" i="3"/>
  <c r="R441" i="3" s="1"/>
  <c r="S61" i="3"/>
  <c r="S441" i="3" s="1"/>
  <c r="AA61" i="3"/>
  <c r="AA534" i="3" s="1"/>
  <c r="K61" i="3"/>
  <c r="K534" i="3" s="1"/>
  <c r="L34" i="3"/>
  <c r="L412" i="3" s="1"/>
  <c r="M34" i="3"/>
  <c r="M412" i="3" s="1"/>
  <c r="N34" i="3"/>
  <c r="N317" i="3" s="1"/>
  <c r="O34" i="3"/>
  <c r="O317" i="3" s="1"/>
  <c r="P34" i="3"/>
  <c r="P317" i="3" s="1"/>
  <c r="Q34" i="3"/>
  <c r="Q506" i="3" s="1"/>
  <c r="R34" i="3"/>
  <c r="R506" i="3" s="1"/>
  <c r="S34" i="3"/>
  <c r="S412" i="3" s="1"/>
  <c r="T34" i="3"/>
  <c r="T412" i="3" s="1"/>
  <c r="U34" i="3"/>
  <c r="U317" i="3" s="1"/>
  <c r="V34" i="3"/>
  <c r="V412" i="3" s="1"/>
  <c r="W34" i="3"/>
  <c r="W317" i="3" s="1"/>
  <c r="K34" i="3"/>
  <c r="K412" i="3" s="1"/>
  <c r="E555" i="3"/>
  <c r="D555" i="3" s="1"/>
  <c r="E548" i="3"/>
  <c r="D548" i="3" s="1"/>
  <c r="E541" i="3"/>
  <c r="D541" i="3" s="1"/>
  <c r="E527" i="3"/>
  <c r="D527" i="3" s="1"/>
  <c r="E520" i="3"/>
  <c r="D520" i="3" s="1"/>
  <c r="E513" i="3"/>
  <c r="D513" i="3" s="1"/>
  <c r="D477" i="3"/>
  <c r="E498" i="3"/>
  <c r="D498" i="3" s="1"/>
  <c r="E491" i="3"/>
  <c r="D491" i="3" s="1"/>
  <c r="E484" i="3"/>
  <c r="D484" i="3" s="1"/>
  <c r="D441" i="3"/>
  <c r="E462" i="3"/>
  <c r="D462" i="3" s="1"/>
  <c r="E455" i="3"/>
  <c r="D455" i="3" s="1"/>
  <c r="E448" i="3"/>
  <c r="D448" i="3" s="1"/>
  <c r="D383" i="3"/>
  <c r="D345" i="3"/>
  <c r="E433" i="3"/>
  <c r="D433" i="3" s="1"/>
  <c r="E426" i="3"/>
  <c r="D426" i="3" s="1"/>
  <c r="E419" i="3"/>
  <c r="D419" i="3" s="1"/>
  <c r="E404" i="3"/>
  <c r="D404" i="3" s="1"/>
  <c r="E397" i="3"/>
  <c r="D397" i="3" s="1"/>
  <c r="E390" i="3"/>
  <c r="D390" i="3" s="1"/>
  <c r="E365" i="3"/>
  <c r="D365" i="3" s="1"/>
  <c r="E358" i="3"/>
  <c r="D358" i="3" s="1"/>
  <c r="E351" i="3"/>
  <c r="D351" i="3" s="1"/>
  <c r="E338" i="3"/>
  <c r="D338" i="3" s="1"/>
  <c r="E331" i="3"/>
  <c r="D331" i="3" s="1"/>
  <c r="E324" i="3"/>
  <c r="D324" i="3" s="1"/>
  <c r="D309" i="3"/>
  <c r="D302" i="3"/>
  <c r="D295" i="3"/>
  <c r="E309" i="3"/>
  <c r="E302" i="3"/>
  <c r="E295" i="3"/>
  <c r="D288" i="3"/>
  <c r="D41" i="3"/>
  <c r="D83" i="3"/>
  <c r="D75" i="3"/>
  <c r="D68" i="3"/>
  <c r="D53" i="3"/>
  <c r="D47" i="3"/>
  <c r="W185" i="3"/>
  <c r="L185" i="3"/>
  <c r="M185" i="3"/>
  <c r="N185" i="3"/>
  <c r="O185" i="3"/>
  <c r="P185" i="3"/>
  <c r="Q185" i="3"/>
  <c r="R185" i="3"/>
  <c r="S185" i="3"/>
  <c r="T185" i="3"/>
  <c r="U185" i="3"/>
  <c r="V185" i="3"/>
  <c r="K185" i="3"/>
  <c r="Z185" i="3"/>
  <c r="D185" i="3"/>
  <c r="D206" i="3" s="1"/>
  <c r="E185" i="3"/>
  <c r="E206" i="3" s="1"/>
  <c r="D263" i="3"/>
  <c r="E263" i="3"/>
  <c r="D256" i="3"/>
  <c r="E256" i="3"/>
  <c r="D249" i="3"/>
  <c r="E249" i="3"/>
  <c r="D221" i="3"/>
  <c r="E221" i="3"/>
  <c r="E23" i="3"/>
  <c r="F23" i="3"/>
  <c r="G23" i="3"/>
  <c r="H23" i="3"/>
  <c r="I23" i="3"/>
  <c r="J23" i="3"/>
  <c r="K23" i="3"/>
  <c r="L23" i="3"/>
  <c r="M23" i="3"/>
  <c r="N23" i="3"/>
  <c r="O23" i="3"/>
  <c r="P23" i="3"/>
  <c r="Q23" i="3"/>
  <c r="R23" i="3"/>
  <c r="S23" i="3"/>
  <c r="T23" i="3"/>
  <c r="U23" i="3"/>
  <c r="V23" i="3"/>
  <c r="W23" i="3"/>
  <c r="X23" i="3"/>
  <c r="Y23" i="3"/>
  <c r="Z23" i="3"/>
  <c r="AA23" i="3"/>
  <c r="D23" i="3"/>
  <c r="E17" i="3"/>
  <c r="G17" i="3"/>
  <c r="H17" i="3"/>
  <c r="I17" i="3"/>
  <c r="J17" i="3"/>
  <c r="K17" i="3"/>
  <c r="L17" i="3"/>
  <c r="M17" i="3"/>
  <c r="N17" i="3"/>
  <c r="O17" i="3"/>
  <c r="P17" i="3"/>
  <c r="Q17" i="3"/>
  <c r="R17" i="3"/>
  <c r="S17" i="3"/>
  <c r="T17" i="3"/>
  <c r="U17" i="3"/>
  <c r="V17" i="3"/>
  <c r="W17" i="3"/>
  <c r="X17" i="3"/>
  <c r="Y17" i="3"/>
  <c r="Z17" i="3"/>
  <c r="AA17" i="3"/>
  <c r="E11" i="3"/>
  <c r="F11" i="3"/>
  <c r="G11" i="3"/>
  <c r="H11" i="3"/>
  <c r="I11" i="3"/>
  <c r="J11" i="3"/>
  <c r="K11" i="3"/>
  <c r="L11" i="3"/>
  <c r="M11" i="3"/>
  <c r="N11" i="3"/>
  <c r="O11" i="3"/>
  <c r="P11" i="3"/>
  <c r="Q11" i="3"/>
  <c r="R11" i="3"/>
  <c r="S11" i="3"/>
  <c r="T11" i="3"/>
  <c r="U11" i="3"/>
  <c r="V11" i="3"/>
  <c r="W11" i="3"/>
  <c r="X11" i="3"/>
  <c r="Y11" i="3"/>
  <c r="Z11" i="3"/>
  <c r="AA11" i="3"/>
  <c r="D11" i="3"/>
  <c r="E5" i="3"/>
  <c r="W383" i="3" s="1"/>
  <c r="F5" i="3"/>
  <c r="G5" i="3"/>
  <c r="H5" i="3"/>
  <c r="I5" i="3"/>
  <c r="J5" i="3"/>
  <c r="K5" i="3"/>
  <c r="L5" i="3"/>
  <c r="M5" i="3"/>
  <c r="N5" i="3"/>
  <c r="O5" i="3"/>
  <c r="P5" i="3"/>
  <c r="Q5" i="3"/>
  <c r="R5" i="3"/>
  <c r="S5" i="3"/>
  <c r="T5" i="3"/>
  <c r="U5" i="3"/>
  <c r="X5" i="3"/>
  <c r="Y5" i="3"/>
  <c r="Z5" i="3"/>
  <c r="AA5" i="3"/>
  <c r="D5" i="3"/>
  <c r="C15" i="5"/>
  <c r="D15" i="5"/>
  <c r="E15" i="5"/>
  <c r="F15" i="5"/>
  <c r="G15" i="5"/>
  <c r="H15" i="5"/>
  <c r="I15" i="5"/>
  <c r="J15" i="5"/>
  <c r="K15" i="5"/>
  <c r="L15" i="5"/>
  <c r="M15" i="5"/>
  <c r="N15" i="5"/>
  <c r="O15" i="5"/>
  <c r="P15" i="5"/>
  <c r="Q15" i="5"/>
  <c r="R15" i="5"/>
  <c r="S15" i="5"/>
  <c r="T15" i="5"/>
  <c r="U15" i="5"/>
  <c r="V15" i="5"/>
  <c r="W15" i="5"/>
  <c r="X15" i="5"/>
  <c r="Y15" i="5"/>
  <c r="B15" i="5"/>
  <c r="C11" i="5"/>
  <c r="D11" i="5"/>
  <c r="E11" i="5"/>
  <c r="F11" i="5"/>
  <c r="G11" i="5"/>
  <c r="H11" i="5"/>
  <c r="I11" i="5"/>
  <c r="J11" i="5"/>
  <c r="K11" i="5"/>
  <c r="L11" i="5"/>
  <c r="M11" i="5"/>
  <c r="N11" i="5"/>
  <c r="O11" i="5"/>
  <c r="P11" i="5"/>
  <c r="Q11" i="5"/>
  <c r="R11" i="5"/>
  <c r="S11" i="5"/>
  <c r="T11" i="5"/>
  <c r="U11" i="5"/>
  <c r="V11" i="5"/>
  <c r="W11" i="5"/>
  <c r="X11" i="5"/>
  <c r="Y11" i="5"/>
  <c r="B11" i="5"/>
  <c r="C7" i="5"/>
  <c r="D7" i="5"/>
  <c r="E7" i="5"/>
  <c r="F7" i="5"/>
  <c r="G7" i="5"/>
  <c r="H7" i="5"/>
  <c r="I7" i="5"/>
  <c r="J7" i="5"/>
  <c r="K7" i="5"/>
  <c r="L7" i="5"/>
  <c r="M7" i="5"/>
  <c r="N7" i="5"/>
  <c r="O7" i="5"/>
  <c r="P7" i="5"/>
  <c r="Q7" i="5"/>
  <c r="R7" i="5"/>
  <c r="S7" i="5"/>
  <c r="T7" i="5"/>
  <c r="U7" i="5"/>
  <c r="V7" i="5"/>
  <c r="W7" i="5"/>
  <c r="X7" i="5"/>
  <c r="Y7" i="5"/>
  <c r="B7" i="5"/>
  <c r="C3" i="5"/>
  <c r="D3" i="5"/>
  <c r="E3" i="5"/>
  <c r="F3" i="5"/>
  <c r="G3" i="5"/>
  <c r="H3" i="5"/>
  <c r="I3" i="5"/>
  <c r="J3" i="5"/>
  <c r="K3" i="5"/>
  <c r="L3" i="5"/>
  <c r="M3" i="5"/>
  <c r="N3" i="5"/>
  <c r="O3" i="5"/>
  <c r="P3" i="5"/>
  <c r="Q3" i="5"/>
  <c r="R3" i="5"/>
  <c r="S3" i="5"/>
  <c r="T3" i="5"/>
  <c r="U3" i="5"/>
  <c r="V3" i="5"/>
  <c r="W3" i="5"/>
  <c r="X3" i="5"/>
  <c r="Y3" i="5"/>
  <c r="B3" i="5"/>
  <c r="F504" i="3"/>
  <c r="D504" i="3"/>
  <c r="D506" i="3" s="1"/>
  <c r="F410" i="3"/>
  <c r="D410" i="3"/>
  <c r="D412" i="3" s="1"/>
  <c r="F315" i="3"/>
  <c r="D315" i="3"/>
  <c r="D317" i="3" s="1"/>
  <c r="F212" i="3"/>
  <c r="D212" i="3"/>
  <c r="D32" i="3"/>
  <c r="F32" i="3"/>
  <c r="D10" i="1"/>
  <c r="D11" i="1"/>
  <c r="D9" i="1"/>
  <c r="D8" i="1"/>
  <c r="D7" i="1"/>
  <c r="U383" i="3" l="1"/>
  <c r="K506" i="3"/>
  <c r="L288" i="3"/>
  <c r="M288" i="3"/>
  <c r="K477" i="3"/>
  <c r="W506" i="3"/>
  <c r="AA345" i="3"/>
  <c r="S477" i="3"/>
  <c r="K317" i="3"/>
  <c r="Q477" i="3"/>
  <c r="P288" i="3"/>
  <c r="R288" i="3"/>
  <c r="M441" i="3"/>
  <c r="M345" i="3"/>
  <c r="L383" i="3"/>
  <c r="N345" i="3"/>
  <c r="Z288" i="3"/>
  <c r="Z383" i="3"/>
  <c r="K345" i="3"/>
  <c r="P345" i="3"/>
  <c r="Q345" i="3"/>
  <c r="K441" i="3"/>
  <c r="P441" i="3"/>
  <c r="X288" i="3"/>
  <c r="T288" i="3"/>
  <c r="V317" i="3"/>
  <c r="V477" i="3"/>
  <c r="Y288" i="3"/>
  <c r="W477" i="3"/>
  <c r="N534" i="3"/>
  <c r="O534" i="3"/>
  <c r="X477" i="3"/>
  <c r="M383" i="3"/>
  <c r="Y477" i="3"/>
  <c r="X383" i="3"/>
  <c r="O441" i="3"/>
  <c r="Z477" i="3"/>
  <c r="Q534" i="3"/>
  <c r="K288" i="3"/>
  <c r="AA383" i="3"/>
  <c r="AA477" i="3"/>
  <c r="R534" i="3"/>
  <c r="S534" i="3"/>
  <c r="Y383" i="3"/>
  <c r="S506" i="3"/>
  <c r="T506" i="3"/>
  <c r="U506" i="3"/>
  <c r="V506" i="3"/>
  <c r="K383" i="3"/>
  <c r="N383" i="3"/>
  <c r="AA288" i="3"/>
  <c r="L477" i="3"/>
  <c r="L317" i="3"/>
  <c r="W412" i="3"/>
  <c r="M477" i="3"/>
  <c r="M317" i="3"/>
  <c r="AA441" i="3"/>
  <c r="S317" i="3"/>
  <c r="N288" i="3"/>
  <c r="O383" i="3"/>
  <c r="U412" i="3"/>
  <c r="U477" i="3"/>
  <c r="T477" i="3"/>
  <c r="Q288" i="3"/>
  <c r="P383" i="3"/>
  <c r="N412" i="3"/>
  <c r="S288" i="3"/>
  <c r="Q383" i="3"/>
  <c r="L506" i="3"/>
  <c r="R345" i="3"/>
  <c r="P412" i="3"/>
  <c r="N477" i="3"/>
  <c r="M506" i="3"/>
  <c r="T317" i="3"/>
  <c r="S383" i="3"/>
  <c r="Q412" i="3"/>
  <c r="V288" i="3"/>
  <c r="T383" i="3"/>
  <c r="R412" i="3"/>
  <c r="P477" i="3"/>
  <c r="O506" i="3"/>
  <c r="L345" i="3"/>
  <c r="O288" i="3"/>
  <c r="R317" i="3"/>
  <c r="O412" i="3"/>
  <c r="R383" i="3"/>
  <c r="U288" i="3"/>
  <c r="S345" i="3"/>
  <c r="O477" i="3"/>
  <c r="N506" i="3"/>
  <c r="W288" i="3"/>
  <c r="P506" i="3"/>
  <c r="L441" i="3"/>
  <c r="Q317" i="3"/>
  <c r="V383" i="3"/>
  <c r="R477" i="3"/>
  <c r="E192" i="3"/>
  <c r="E199" i="3"/>
  <c r="D192" i="3"/>
  <c r="D199" i="3"/>
</calcChain>
</file>

<file path=xl/sharedStrings.xml><?xml version="1.0" encoding="utf-8"?>
<sst xmlns="http://schemas.openxmlformats.org/spreadsheetml/2006/main" count="9640" uniqueCount="815">
  <si>
    <t>base-ZNS</t>
    <phoneticPr fontId="1" type="noConversion"/>
  </si>
  <si>
    <t>ZWL</t>
    <phoneticPr fontId="1" type="noConversion"/>
  </si>
  <si>
    <t>IOPS</t>
    <phoneticPr fontId="1" type="noConversion"/>
  </si>
  <si>
    <t>99.9%lat</t>
    <phoneticPr fontId="1" type="noConversion"/>
  </si>
  <si>
    <t>99.99%lat</t>
    <phoneticPr fontId="1" type="noConversion"/>
  </si>
  <si>
    <t>BW(MB/s)</t>
    <phoneticPr fontId="1" type="noConversion"/>
  </si>
  <si>
    <t>99%lat (usec)</t>
    <phoneticPr fontId="1" type="noConversion"/>
  </si>
  <si>
    <t>BASE</t>
    <phoneticPr fontId="1" type="noConversion"/>
  </si>
  <si>
    <t>Baseline-OriginalZNS</t>
    <phoneticPr fontId="1" type="noConversion"/>
  </si>
  <si>
    <t>Lemonade</t>
    <phoneticPr fontId="1" type="noConversion"/>
  </si>
  <si>
    <t>平均clat</t>
    <phoneticPr fontId="1" type="noConversion"/>
  </si>
  <si>
    <t>1%尾延迟</t>
    <phoneticPr fontId="1" type="noConversion"/>
  </si>
  <si>
    <t>5%尾延迟</t>
    <phoneticPr fontId="1" type="noConversion"/>
  </si>
  <si>
    <t>10%尾延迟</t>
    <phoneticPr fontId="1" type="noConversion"/>
  </si>
  <si>
    <t>20%尾延迟</t>
    <phoneticPr fontId="1" type="noConversion"/>
  </si>
  <si>
    <t>30%尾延迟</t>
    <phoneticPr fontId="1" type="noConversion"/>
  </si>
  <si>
    <t>40%尾延迟</t>
    <phoneticPr fontId="1" type="noConversion"/>
  </si>
  <si>
    <t>50%尾延迟</t>
    <phoneticPr fontId="1" type="noConversion"/>
  </si>
  <si>
    <t>60%尾延迟</t>
    <phoneticPr fontId="1" type="noConversion"/>
  </si>
  <si>
    <t>70%尾延迟</t>
    <phoneticPr fontId="1" type="noConversion"/>
  </si>
  <si>
    <t>80%尾延迟</t>
    <phoneticPr fontId="1" type="noConversion"/>
  </si>
  <si>
    <t>90%尾延迟</t>
    <phoneticPr fontId="1" type="noConversion"/>
  </si>
  <si>
    <t>95%尾延迟</t>
    <phoneticPr fontId="1" type="noConversion"/>
  </si>
  <si>
    <t>99%尾延迟</t>
    <phoneticPr fontId="1" type="noConversion"/>
  </si>
  <si>
    <t>99.5%尾延迟</t>
    <phoneticPr fontId="1" type="noConversion"/>
  </si>
  <si>
    <t>99.9%尾延迟</t>
    <phoneticPr fontId="1" type="noConversion"/>
  </si>
  <si>
    <t>99.95%尾延迟</t>
    <phoneticPr fontId="1" type="noConversion"/>
  </si>
  <si>
    <t>带宽(MB/s)</t>
    <phoneticPr fontId="1" type="noConversion"/>
  </si>
  <si>
    <t>最大clat</t>
    <phoneticPr fontId="1" type="noConversion"/>
  </si>
  <si>
    <t>最小clat(usec)</t>
    <phoneticPr fontId="1" type="noConversion"/>
  </si>
  <si>
    <t>seqwrite</t>
    <phoneticPr fontId="1" type="noConversion"/>
  </si>
  <si>
    <t>seqread</t>
    <phoneticPr fontId="1" type="noConversion"/>
  </si>
  <si>
    <t>99.99%尾延迟</t>
    <phoneticPr fontId="1" type="noConversion"/>
  </si>
  <si>
    <t>numjob=1 error=0</t>
    <phoneticPr fontId="1" type="noConversion"/>
  </si>
  <si>
    <t>randread</t>
    <phoneticPr fontId="1" type="noConversion"/>
  </si>
  <si>
    <t>numjob=1 error=1</t>
    <phoneticPr fontId="1" type="noConversion"/>
  </si>
  <si>
    <t>numjob= 4 error=1</t>
    <phoneticPr fontId="1" type="noConversion"/>
  </si>
  <si>
    <t>numjob= 8 error=0</t>
    <phoneticPr fontId="1" type="noConversion"/>
  </si>
  <si>
    <t>numjob= 8 error = 1</t>
    <phoneticPr fontId="1" type="noConversion"/>
  </si>
  <si>
    <t>numjob= 4 error=0</t>
    <phoneticPr fontId="1" type="noConversion"/>
  </si>
  <si>
    <t>4KB</t>
    <phoneticPr fontId="1" type="noConversion"/>
  </si>
  <si>
    <t>数据集</t>
    <phoneticPr fontId="1" type="noConversion"/>
  </si>
  <si>
    <t>error bound</t>
    <phoneticPr fontId="1" type="noConversion"/>
  </si>
  <si>
    <t>模型数量</t>
    <phoneticPr fontId="1" type="noConversion"/>
  </si>
  <si>
    <t>不准确LPN数</t>
    <phoneticPr fontId="1" type="noConversion"/>
  </si>
  <si>
    <t>AK_SemEval(3415LPN)</t>
    <phoneticPr fontId="1" type="noConversion"/>
  </si>
  <si>
    <t>nci</t>
    <phoneticPr fontId="1" type="noConversion"/>
  </si>
  <si>
    <t>IOPS</t>
  </si>
  <si>
    <t>BW (MiB/s)</t>
  </si>
  <si>
    <t>BW (MB/s)</t>
  </si>
  <si>
    <t>clat min (usec)</t>
  </si>
  <si>
    <t>clat max (usec)</t>
  </si>
  <si>
    <t>clat avg (usec)</t>
  </si>
  <si>
    <t>clat stdev (usec)</t>
  </si>
  <si>
    <t>Base-ZNS</t>
    <phoneticPr fontId="1" type="noConversion"/>
  </si>
  <si>
    <t>Lemonade-slow</t>
    <phoneticPr fontId="1" type="noConversion"/>
  </si>
  <si>
    <t>Balloon-ZNS</t>
    <phoneticPr fontId="1" type="noConversion"/>
  </si>
  <si>
    <t>MT-ZNS</t>
    <phoneticPr fontId="1" type="noConversion"/>
  </si>
  <si>
    <t>Seqwrite</t>
    <phoneticPr fontId="1" type="noConversion"/>
  </si>
  <si>
    <t>SeqRead</t>
    <phoneticPr fontId="1" type="noConversion"/>
  </si>
  <si>
    <t>RandomRead</t>
    <phoneticPr fontId="1" type="noConversion"/>
  </si>
  <si>
    <t>error=0</t>
    <phoneticPr fontId="1" type="noConversion"/>
  </si>
  <si>
    <t>hgdp</t>
    <phoneticPr fontId="1" type="noConversion"/>
  </si>
  <si>
    <t>webster</t>
    <phoneticPr fontId="1" type="noConversion"/>
  </si>
  <si>
    <t>xml</t>
    <phoneticPr fontId="1" type="noConversion"/>
  </si>
  <si>
    <t>osdb</t>
    <phoneticPr fontId="1" type="noConversion"/>
  </si>
  <si>
    <t>ooffice</t>
    <phoneticPr fontId="1" type="noConversion"/>
  </si>
  <si>
    <t>218</t>
  </si>
  <si>
    <t>29</t>
  </si>
  <si>
    <t>39</t>
  </si>
  <si>
    <t>40</t>
  </si>
  <si>
    <t>41</t>
  </si>
  <si>
    <t>43</t>
  </si>
  <si>
    <t>45</t>
  </si>
  <si>
    <t>46</t>
  </si>
  <si>
    <t>47</t>
  </si>
  <si>
    <t>57</t>
  </si>
  <si>
    <t>66</t>
  </si>
  <si>
    <t>99</t>
  </si>
  <si>
    <t>12256</t>
  </si>
  <si>
    <t>12387</t>
  </si>
  <si>
    <t>28</t>
  </si>
  <si>
    <t>26</t>
  </si>
  <si>
    <t>305</t>
  </si>
  <si>
    <t>34.41</t>
  </si>
  <si>
    <t>19.70</t>
  </si>
  <si>
    <t>30</t>
  </si>
  <si>
    <t>31</t>
  </si>
  <si>
    <t>32</t>
  </si>
  <si>
    <t>33</t>
  </si>
  <si>
    <t>186</t>
  </si>
  <si>
    <t>190</t>
  </si>
  <si>
    <t>388</t>
  </si>
  <si>
    <t>16</t>
  </si>
  <si>
    <t>20</t>
  </si>
  <si>
    <t>21</t>
  </si>
  <si>
    <t>23</t>
  </si>
  <si>
    <t>24</t>
  </si>
  <si>
    <t>25</t>
  </si>
  <si>
    <t>188</t>
  </si>
  <si>
    <t>202</t>
  </si>
  <si>
    <t>206</t>
  </si>
  <si>
    <t>221</t>
  </si>
  <si>
    <t>229</t>
  </si>
  <si>
    <t>429</t>
  </si>
  <si>
    <t>IOPS(k)</t>
    <phoneticPr fontId="1" type="noConversion"/>
  </si>
  <si>
    <t>54</t>
  </si>
  <si>
    <t>60</t>
  </si>
  <si>
    <t>61</t>
  </si>
  <si>
    <t>62</t>
  </si>
  <si>
    <t>63</t>
  </si>
  <si>
    <t>64</t>
  </si>
  <si>
    <t>65</t>
  </si>
  <si>
    <t>67</t>
  </si>
  <si>
    <t>70</t>
  </si>
  <si>
    <t>74</t>
  </si>
  <si>
    <t>85</t>
  </si>
  <si>
    <t>93</t>
  </si>
  <si>
    <t>2033</t>
  </si>
  <si>
    <t>63.5</t>
  </si>
  <si>
    <t>66.6</t>
  </si>
  <si>
    <t>52734</t>
  </si>
  <si>
    <t>487.93</t>
  </si>
  <si>
    <t>4306.28</t>
  </si>
  <si>
    <t>86</t>
  </si>
  <si>
    <t>90</t>
  </si>
  <si>
    <t>92</t>
  </si>
  <si>
    <t>97</t>
  </si>
  <si>
    <t>100</t>
  </si>
  <si>
    <t>102</t>
  </si>
  <si>
    <t>104</t>
  </si>
  <si>
    <t>108</t>
  </si>
  <si>
    <t>111</t>
  </si>
  <si>
    <t>116</t>
  </si>
  <si>
    <t>126</t>
  </si>
  <si>
    <t>139</t>
  </si>
  <si>
    <t>49021</t>
  </si>
  <si>
    <t>49546</t>
  </si>
  <si>
    <t>50070</t>
  </si>
  <si>
    <t>3931</t>
  </si>
  <si>
    <t>123</t>
  </si>
  <si>
    <t>129</t>
  </si>
  <si>
    <t>24593</t>
  </si>
  <si>
    <t>251.19</t>
  </si>
  <si>
    <t>2010.63</t>
  </si>
  <si>
    <t>68</t>
  </si>
  <si>
    <t>72</t>
  </si>
  <si>
    <t>73</t>
  </si>
  <si>
    <t>75</t>
  </si>
  <si>
    <t>76</t>
  </si>
  <si>
    <t>78</t>
  </si>
  <si>
    <t>87</t>
  </si>
  <si>
    <t>95</t>
  </si>
  <si>
    <t>124</t>
  </si>
  <si>
    <t>24511</t>
  </si>
  <si>
    <t>Seqwrite(numjob=1)</t>
    <phoneticPr fontId="1" type="noConversion"/>
  </si>
  <si>
    <t>Seqwrite(numjob=4)</t>
    <phoneticPr fontId="1" type="noConversion"/>
  </si>
  <si>
    <t>Seqwrite(numjob=8)</t>
    <phoneticPr fontId="1" type="noConversion"/>
  </si>
  <si>
    <t>Seqwrite(numjob=16)</t>
    <phoneticPr fontId="1" type="noConversion"/>
  </si>
  <si>
    <t>5244</t>
  </si>
  <si>
    <t>164</t>
  </si>
  <si>
    <t>172</t>
  </si>
  <si>
    <t>35916</t>
  </si>
  <si>
    <t>270.17</t>
  </si>
  <si>
    <t>2106.17</t>
  </si>
  <si>
    <t>77</t>
  </si>
  <si>
    <t>79</t>
  </si>
  <si>
    <t>81</t>
  </si>
  <si>
    <t>83</t>
  </si>
  <si>
    <t>114</t>
  </si>
  <si>
    <t>135</t>
  </si>
  <si>
    <t>198</t>
  </si>
  <si>
    <t>25560</t>
  </si>
  <si>
    <t>26346</t>
  </si>
  <si>
    <t>28705</t>
  </si>
  <si>
    <t>5943</t>
  </si>
  <si>
    <t>195</t>
  </si>
  <si>
    <t>52</t>
  </si>
  <si>
    <t>48847</t>
  </si>
  <si>
    <t>274.44</t>
  </si>
  <si>
    <t>2176.69</t>
  </si>
  <si>
    <t>59</t>
  </si>
  <si>
    <t>94</t>
  </si>
  <si>
    <t>127</t>
  </si>
  <si>
    <t>159</t>
  </si>
  <si>
    <t>204</t>
  </si>
  <si>
    <t>26608</t>
  </si>
  <si>
    <t>30278</t>
  </si>
  <si>
    <t>33817</t>
  </si>
  <si>
    <t>6975</t>
  </si>
  <si>
    <t>48941</t>
  </si>
  <si>
    <t>301.87</t>
  </si>
  <si>
    <t>2393.36</t>
  </si>
  <si>
    <t>58</t>
  </si>
  <si>
    <t>69</t>
  </si>
  <si>
    <t>117</t>
  </si>
  <si>
    <t>145</t>
  </si>
  <si>
    <t>285</t>
  </si>
  <si>
    <t>32113</t>
  </si>
  <si>
    <t>36439</t>
  </si>
  <si>
    <t>47973</t>
  </si>
  <si>
    <t>2883</t>
  </si>
  <si>
    <t>90.1</t>
  </si>
  <si>
    <t>94.5</t>
  </si>
  <si>
    <t>49109</t>
  </si>
  <si>
    <t>343.83</t>
  </si>
  <si>
    <t>3084.32</t>
  </si>
  <si>
    <t>71</t>
  </si>
  <si>
    <t>130</t>
  </si>
  <si>
    <t>36963</t>
  </si>
  <si>
    <t>4470</t>
  </si>
  <si>
    <t>140</t>
  </si>
  <si>
    <t>146</t>
  </si>
  <si>
    <t>55</t>
  </si>
  <si>
    <t>50309</t>
  </si>
  <si>
    <t>360.15</t>
  </si>
  <si>
    <t>3196.80</t>
  </si>
  <si>
    <t>82</t>
  </si>
  <si>
    <t>84</t>
  </si>
  <si>
    <t>39584</t>
  </si>
  <si>
    <t>5482</t>
  </si>
  <si>
    <t>171</t>
  </si>
  <si>
    <t>180</t>
  </si>
  <si>
    <t>56</t>
  </si>
  <si>
    <t>49090</t>
  </si>
  <si>
    <t>361.80</t>
  </si>
  <si>
    <t>3238.94</t>
  </si>
  <si>
    <t>96</t>
  </si>
  <si>
    <t>151</t>
  </si>
  <si>
    <t>41681</t>
  </si>
  <si>
    <t>5607</t>
  </si>
  <si>
    <t>175</t>
  </si>
  <si>
    <t>184</t>
  </si>
  <si>
    <t>53</t>
  </si>
  <si>
    <t>49149</t>
  </si>
  <si>
    <t>373.29</t>
  </si>
  <si>
    <t>3310.17</t>
  </si>
  <si>
    <t>91</t>
  </si>
  <si>
    <t>110</t>
  </si>
  <si>
    <t>121</t>
  </si>
  <si>
    <t>46924</t>
  </si>
  <si>
    <t>27</t>
  </si>
  <si>
    <t>34</t>
  </si>
  <si>
    <t>35</t>
  </si>
  <si>
    <t>37</t>
  </si>
  <si>
    <t>80</t>
  </si>
  <si>
    <t>SeqRead(numjob=1)</t>
    <phoneticPr fontId="1" type="noConversion"/>
  </si>
  <si>
    <t>SeqRead(numjob=4)</t>
    <phoneticPr fontId="1" type="noConversion"/>
  </si>
  <si>
    <t>SeqRead(numjob=8)</t>
    <phoneticPr fontId="1" type="noConversion"/>
  </si>
  <si>
    <t>SeqRead(numjob=16)</t>
    <phoneticPr fontId="1" type="noConversion"/>
  </si>
  <si>
    <t>15</t>
  </si>
  <si>
    <t>22</t>
  </si>
  <si>
    <t>36</t>
  </si>
  <si>
    <t>219</t>
  </si>
  <si>
    <t>38</t>
  </si>
  <si>
    <t>44</t>
  </si>
  <si>
    <t>51</t>
  </si>
  <si>
    <t>14</t>
  </si>
  <si>
    <t>88</t>
  </si>
  <si>
    <t>RandomRead(numbjob=1)</t>
    <phoneticPr fontId="1" type="noConversion"/>
  </si>
  <si>
    <t>RandomRead(numbjob=4)</t>
    <phoneticPr fontId="1" type="noConversion"/>
  </si>
  <si>
    <t>RandomRead(numbjob=8)</t>
    <phoneticPr fontId="1" type="noConversion"/>
  </si>
  <si>
    <t>RandomRead(numbjob=16)</t>
    <phoneticPr fontId="1" type="noConversion"/>
  </si>
  <si>
    <t>113</t>
  </si>
  <si>
    <t>143</t>
  </si>
  <si>
    <t>18</t>
  </si>
  <si>
    <t>950</t>
  </si>
  <si>
    <t>996</t>
  </si>
  <si>
    <t>19</t>
  </si>
  <si>
    <t>10129</t>
  </si>
  <si>
    <t>31.75</t>
  </si>
  <si>
    <t>82.84</t>
  </si>
  <si>
    <t>220</t>
  </si>
  <si>
    <t>1088</t>
  </si>
  <si>
    <t>1140</t>
  </si>
  <si>
    <t>1058</t>
  </si>
  <si>
    <t>32.76</t>
  </si>
  <si>
    <t>11.70</t>
  </si>
  <si>
    <t>155</t>
  </si>
  <si>
    <t>165</t>
  </si>
  <si>
    <t>237</t>
  </si>
  <si>
    <t>1164</t>
  </si>
  <si>
    <t>1221</t>
  </si>
  <si>
    <t>12</t>
  </si>
  <si>
    <t>4591</t>
  </si>
  <si>
    <t>32.11</t>
  </si>
  <si>
    <t>24.05</t>
  </si>
  <si>
    <t>118</t>
  </si>
  <si>
    <t>227</t>
  </si>
  <si>
    <t>1200</t>
  </si>
  <si>
    <t>1258</t>
  </si>
  <si>
    <t>10000</t>
  </si>
  <si>
    <t>32.07</t>
  </si>
  <si>
    <t>37.02</t>
  </si>
  <si>
    <t>122</t>
  </si>
  <si>
    <t>807</t>
  </si>
  <si>
    <t>1076</t>
  </si>
  <si>
    <t>1128</t>
  </si>
  <si>
    <t>4501</t>
  </si>
  <si>
    <t>27.74</t>
  </si>
  <si>
    <t>29.11</t>
  </si>
  <si>
    <t>48</t>
  </si>
  <si>
    <t>1378</t>
  </si>
  <si>
    <t>1445</t>
  </si>
  <si>
    <t>4430</t>
  </si>
  <si>
    <t>34.85</t>
  </si>
  <si>
    <t>26.05</t>
  </si>
  <si>
    <t>50</t>
  </si>
  <si>
    <t>245</t>
  </si>
  <si>
    <t>1482</t>
  </si>
  <si>
    <t>1554</t>
  </si>
  <si>
    <t>9047</t>
  </si>
  <si>
    <t>48.61</t>
  </si>
  <si>
    <t>49.48</t>
  </si>
  <si>
    <t>223</t>
  </si>
  <si>
    <t>553</t>
  </si>
  <si>
    <t>1657</t>
  </si>
  <si>
    <t>1737</t>
  </si>
  <si>
    <t>9301</t>
  </si>
  <si>
    <t>46.04</t>
  </si>
  <si>
    <t>45.28</t>
  </si>
  <si>
    <t>106</t>
  </si>
  <si>
    <t>147</t>
  </si>
  <si>
    <t>182</t>
  </si>
  <si>
    <t>523</t>
  </si>
  <si>
    <t>RandomRead(numjob=16)</t>
    <phoneticPr fontId="1" type="noConversion"/>
  </si>
  <si>
    <t>89</t>
  </si>
  <si>
    <t>115</t>
  </si>
  <si>
    <t>318</t>
  </si>
  <si>
    <t>334</t>
  </si>
  <si>
    <t>31959</t>
  </si>
  <si>
    <t>200.99</t>
  </si>
  <si>
    <t>1347.22</t>
  </si>
  <si>
    <t>120</t>
  </si>
  <si>
    <t>19268</t>
  </si>
  <si>
    <t>23725</t>
  </si>
  <si>
    <t>9957</t>
  </si>
  <si>
    <t>311</t>
  </si>
  <si>
    <t>326</t>
  </si>
  <si>
    <t>29336</t>
  </si>
  <si>
    <t>193.06</t>
  </si>
  <si>
    <t>1287.68</t>
  </si>
  <si>
    <t>103</t>
  </si>
  <si>
    <t>125</t>
  </si>
  <si>
    <t>17695</t>
  </si>
  <si>
    <t>21365</t>
  </si>
  <si>
    <t>24773</t>
  </si>
  <si>
    <t>325</t>
  </si>
  <si>
    <t>341</t>
  </si>
  <si>
    <t>36476</t>
  </si>
  <si>
    <t>199.52</t>
  </si>
  <si>
    <t>1380.15</t>
  </si>
  <si>
    <t>167</t>
  </si>
  <si>
    <t>20055</t>
  </si>
  <si>
    <t>28443</t>
  </si>
  <si>
    <t>9652</t>
  </si>
  <si>
    <t>302</t>
  </si>
  <si>
    <t>316</t>
  </si>
  <si>
    <t>29089</t>
  </si>
  <si>
    <t>183.69</t>
  </si>
  <si>
    <t>1251.06</t>
  </si>
  <si>
    <t>16057</t>
  </si>
  <si>
    <t>17171</t>
  </si>
  <si>
    <t>2287</t>
  </si>
  <si>
    <t>2398</t>
  </si>
  <si>
    <t>3688</t>
  </si>
  <si>
    <t>72.34</t>
  </si>
  <si>
    <t>32.74</t>
  </si>
  <si>
    <t>105</t>
  </si>
  <si>
    <t>174</t>
  </si>
  <si>
    <t>306</t>
  </si>
  <si>
    <t>330</t>
  </si>
  <si>
    <t>441</t>
  </si>
  <si>
    <t>2015</t>
  </si>
  <si>
    <t>2113</t>
  </si>
  <si>
    <t>8544</t>
  </si>
  <si>
    <t>65.60</t>
  </si>
  <si>
    <t>52.28</t>
  </si>
  <si>
    <t>49</t>
  </si>
  <si>
    <t>176</t>
  </si>
  <si>
    <t>212</t>
  </si>
  <si>
    <t>338</t>
  </si>
  <si>
    <t>529</t>
  </si>
  <si>
    <t>1552</t>
  </si>
  <si>
    <t>1627</t>
  </si>
  <si>
    <t>9810</t>
  </si>
  <si>
    <t>48.56</t>
  </si>
  <si>
    <t>60.15</t>
  </si>
  <si>
    <t>178</t>
  </si>
  <si>
    <t>217</t>
  </si>
  <si>
    <t>1500</t>
  </si>
  <si>
    <t>1174</t>
  </si>
  <si>
    <t>1231</t>
  </si>
  <si>
    <t>232</t>
  </si>
  <si>
    <t>25.14</t>
  </si>
  <si>
    <t>233</t>
  </si>
  <si>
    <t>1085</t>
  </si>
  <si>
    <t>1138</t>
  </si>
  <si>
    <t>9935</t>
  </si>
  <si>
    <t>27.85</t>
  </si>
  <si>
    <t>44.45</t>
  </si>
  <si>
    <t>194</t>
  </si>
  <si>
    <t>277</t>
  </si>
  <si>
    <t>289</t>
  </si>
  <si>
    <t>1443</t>
  </si>
  <si>
    <t>1513</t>
  </si>
  <si>
    <t>13552</t>
  </si>
  <si>
    <t>38.89</t>
  </si>
  <si>
    <t>57.01</t>
  </si>
  <si>
    <t>109</t>
  </si>
  <si>
    <t>210</t>
  </si>
  <si>
    <t>1106</t>
  </si>
  <si>
    <t>1881</t>
  </si>
  <si>
    <t>1973</t>
  </si>
  <si>
    <t>10993</t>
  </si>
  <si>
    <t>43.90</t>
  </si>
  <si>
    <t>65.96</t>
  </si>
  <si>
    <t>293</t>
  </si>
  <si>
    <t>3392</t>
  </si>
  <si>
    <t>Seqwrite(numbjob=1)</t>
    <phoneticPr fontId="1" type="noConversion"/>
  </si>
  <si>
    <t>SeqRead(1)</t>
    <phoneticPr fontId="1" type="noConversion"/>
  </si>
  <si>
    <t>SeqRead(4)</t>
    <phoneticPr fontId="1" type="noConversion"/>
  </si>
  <si>
    <t>SeqRead(8)</t>
    <phoneticPr fontId="1" type="noConversion"/>
  </si>
  <si>
    <t>SeqRead(16)</t>
    <phoneticPr fontId="1" type="noConversion"/>
  </si>
  <si>
    <t>5213</t>
  </si>
  <si>
    <t>163</t>
  </si>
  <si>
    <t>30181</t>
  </si>
  <si>
    <t>244.35</t>
  </si>
  <si>
    <t>1388.17</t>
  </si>
  <si>
    <t>101</t>
  </si>
  <si>
    <t>153</t>
  </si>
  <si>
    <t>239</t>
  </si>
  <si>
    <t>25822</t>
  </si>
  <si>
    <t>6200</t>
  </si>
  <si>
    <t>203</t>
  </si>
  <si>
    <t>26487</t>
  </si>
  <si>
    <t>225.00</t>
  </si>
  <si>
    <t>1406.32</t>
  </si>
  <si>
    <t>169</t>
  </si>
  <si>
    <t>5809</t>
  </si>
  <si>
    <t>37682</t>
  </si>
  <si>
    <t>241.02</t>
  </si>
  <si>
    <t>1453.54</t>
  </si>
  <si>
    <t>27657</t>
  </si>
  <si>
    <t>6720</t>
  </si>
  <si>
    <t>39105</t>
  </si>
  <si>
    <t>271.59</t>
  </si>
  <si>
    <t>1608.26</t>
  </si>
  <si>
    <t>98</t>
  </si>
  <si>
    <t>253</t>
  </si>
  <si>
    <t>25035</t>
  </si>
  <si>
    <t>35914</t>
  </si>
  <si>
    <t>17</t>
  </si>
  <si>
    <t>3407</t>
  </si>
  <si>
    <t>31.09</t>
  </si>
  <si>
    <t>19.77</t>
  </si>
  <si>
    <t>42</t>
  </si>
  <si>
    <t>1483</t>
  </si>
  <si>
    <t>1555</t>
  </si>
  <si>
    <t>13</t>
  </si>
  <si>
    <t>11725</t>
  </si>
  <si>
    <t>52.45</t>
  </si>
  <si>
    <t>55.75</t>
  </si>
  <si>
    <t>161</t>
  </si>
  <si>
    <t>241</t>
  </si>
  <si>
    <t>260</t>
  </si>
  <si>
    <t>2474</t>
  </si>
  <si>
    <t>1802</t>
  </si>
  <si>
    <t>1889</t>
  </si>
  <si>
    <t>7974</t>
  </si>
  <si>
    <t>56.37</t>
  </si>
  <si>
    <t>41.22</t>
  </si>
  <si>
    <t>149</t>
  </si>
  <si>
    <t>586</t>
  </si>
  <si>
    <t>1118</t>
  </si>
  <si>
    <t>1172</t>
  </si>
  <si>
    <t>141</t>
  </si>
  <si>
    <t>26.76</t>
  </si>
  <si>
    <t>1549</t>
  </si>
  <si>
    <t>1624</t>
  </si>
  <si>
    <t>467</t>
  </si>
  <si>
    <t>48.77</t>
  </si>
  <si>
    <t>26.73</t>
  </si>
  <si>
    <t>249</t>
  </si>
  <si>
    <t>351</t>
  </si>
  <si>
    <t>1885</t>
  </si>
  <si>
    <t>1976</t>
  </si>
  <si>
    <t>8368</t>
  </si>
  <si>
    <t>73.97</t>
  </si>
  <si>
    <t>50.14</t>
  </si>
  <si>
    <t>196</t>
  </si>
  <si>
    <t>322</t>
  </si>
  <si>
    <t>510</t>
  </si>
  <si>
    <t>1617</t>
  </si>
  <si>
    <t>1696</t>
  </si>
  <si>
    <t>9133</t>
  </si>
  <si>
    <t>110.21</t>
  </si>
  <si>
    <t>100.50</t>
  </si>
  <si>
    <t>112</t>
  </si>
  <si>
    <t>137</t>
  </si>
  <si>
    <t>192</t>
  </si>
  <si>
    <t>269</t>
  </si>
  <si>
    <t>449</t>
  </si>
  <si>
    <t>519</t>
  </si>
  <si>
    <t>668</t>
  </si>
  <si>
    <t>742</t>
  </si>
  <si>
    <t>3752</t>
  </si>
  <si>
    <t>RandomRead(1)</t>
    <phoneticPr fontId="1" type="noConversion"/>
  </si>
  <si>
    <t>RandomRead(4)</t>
    <phoneticPr fontId="1" type="noConversion"/>
  </si>
  <si>
    <t>RandomRead(8)</t>
    <phoneticPr fontId="1" type="noConversion"/>
  </si>
  <si>
    <t>RandomRead(16)</t>
    <phoneticPr fontId="1" type="noConversion"/>
  </si>
  <si>
    <t>981</t>
  </si>
  <si>
    <t>1028</t>
  </si>
  <si>
    <t>286</t>
  </si>
  <si>
    <t>30.71</t>
  </si>
  <si>
    <t>13.41</t>
  </si>
  <si>
    <t>200</t>
  </si>
  <si>
    <t>1089</t>
  </si>
  <si>
    <t>1142</t>
  </si>
  <si>
    <t>297</t>
  </si>
  <si>
    <t>27.37</t>
  </si>
  <si>
    <t>13.52</t>
  </si>
  <si>
    <t>7953</t>
  </si>
  <si>
    <t>261</t>
  </si>
  <si>
    <t>48875</t>
  </si>
  <si>
    <t>185.04</t>
  </si>
  <si>
    <t>1159.88</t>
  </si>
  <si>
    <t>157</t>
  </si>
  <si>
    <t>14353</t>
  </si>
  <si>
    <t>15533</t>
  </si>
  <si>
    <t>8610</t>
  </si>
  <si>
    <t>282</t>
  </si>
  <si>
    <t>24520</t>
  </si>
  <si>
    <t>183.44</t>
  </si>
  <si>
    <t>1168.37</t>
  </si>
  <si>
    <t>14877</t>
  </si>
  <si>
    <t>15795</t>
  </si>
  <si>
    <t>18220</t>
  </si>
  <si>
    <t>8658</t>
  </si>
  <si>
    <t>271</t>
  </si>
  <si>
    <t>284</t>
  </si>
  <si>
    <t>36707</t>
  </si>
  <si>
    <t>179.28</t>
  </si>
  <si>
    <t>1170.25</t>
  </si>
  <si>
    <t>15664</t>
  </si>
  <si>
    <t>9572</t>
  </si>
  <si>
    <t>299</t>
  </si>
  <si>
    <t>314</t>
  </si>
  <si>
    <t>36611</t>
  </si>
  <si>
    <t>183.09</t>
  </si>
  <si>
    <t>1173.71</t>
  </si>
  <si>
    <t>14615</t>
  </si>
  <si>
    <t>15270</t>
  </si>
  <si>
    <t>1137</t>
  </si>
  <si>
    <t>128</t>
  </si>
  <si>
    <t>27.75</t>
  </si>
  <si>
    <t>1594</t>
  </si>
  <si>
    <t>1672</t>
  </si>
  <si>
    <t>4799</t>
  </si>
  <si>
    <t>47.88</t>
  </si>
  <si>
    <t>23.81</t>
  </si>
  <si>
    <t>133</t>
  </si>
  <si>
    <t>1807</t>
  </si>
  <si>
    <t>1895</t>
  </si>
  <si>
    <t>14875</t>
  </si>
  <si>
    <t>77.39</t>
  </si>
  <si>
    <t>78.24</t>
  </si>
  <si>
    <t>273</t>
  </si>
  <si>
    <t>2409</t>
  </si>
  <si>
    <t>14160</t>
  </si>
  <si>
    <t>68.12</t>
  </si>
  <si>
    <t>46.33</t>
  </si>
  <si>
    <t>799</t>
  </si>
  <si>
    <t>27.72</t>
  </si>
  <si>
    <t>1333</t>
  </si>
  <si>
    <t>1398</t>
  </si>
  <si>
    <t>1518</t>
  </si>
  <si>
    <t>37.89</t>
  </si>
  <si>
    <t>10.21</t>
  </si>
  <si>
    <t>1707</t>
  </si>
  <si>
    <t>1790</t>
  </si>
  <si>
    <t>18060</t>
  </si>
  <si>
    <t>51.34</t>
  </si>
  <si>
    <t>43.82</t>
  </si>
  <si>
    <t>1951</t>
  </si>
  <si>
    <t>2046</t>
  </si>
  <si>
    <t>20981</t>
  </si>
  <si>
    <t>49.54</t>
  </si>
  <si>
    <t>46.61</t>
  </si>
  <si>
    <t>652</t>
  </si>
  <si>
    <t>2529</t>
  </si>
  <si>
    <t>79.0</t>
  </si>
  <si>
    <t>82.9</t>
  </si>
  <si>
    <t>93559</t>
  </si>
  <si>
    <t>674.29</t>
  </si>
  <si>
    <t>7092.89</t>
  </si>
  <si>
    <t>84411</t>
  </si>
  <si>
    <t>93848</t>
  </si>
  <si>
    <t>1169</t>
  </si>
  <si>
    <t>1226</t>
  </si>
  <si>
    <t>162</t>
  </si>
  <si>
    <t>25.76</t>
  </si>
  <si>
    <t>1247</t>
  </si>
  <si>
    <t>1307</t>
  </si>
  <si>
    <t>412</t>
  </si>
  <si>
    <t>37.91</t>
  </si>
  <si>
    <t>10.34</t>
  </si>
  <si>
    <t>1416</t>
  </si>
  <si>
    <t>1485</t>
  </si>
  <si>
    <t>296</t>
  </si>
  <si>
    <t>32.92</t>
  </si>
  <si>
    <t>1049</t>
  </si>
  <si>
    <t>1100</t>
  </si>
  <si>
    <t>28.32</t>
  </si>
  <si>
    <t>1749</t>
  </si>
  <si>
    <t>1834</t>
  </si>
  <si>
    <t>10290</t>
  </si>
  <si>
    <t>79.71</t>
  </si>
  <si>
    <t>71.56</t>
  </si>
  <si>
    <t>465</t>
  </si>
  <si>
    <t>3884</t>
  </si>
  <si>
    <t>2008</t>
  </si>
  <si>
    <t>2106</t>
  </si>
  <si>
    <t>9554</t>
  </si>
  <si>
    <t>86.69</t>
  </si>
  <si>
    <t>48.92</t>
  </si>
  <si>
    <t>265</t>
  </si>
  <si>
    <t>363</t>
  </si>
  <si>
    <t>453</t>
  </si>
  <si>
    <t>1574</t>
  </si>
  <si>
    <t>1651</t>
  </si>
  <si>
    <t>3841</t>
  </si>
  <si>
    <t>48.06</t>
  </si>
  <si>
    <t>26.57</t>
  </si>
  <si>
    <t>235</t>
  </si>
  <si>
    <t>1808</t>
  </si>
  <si>
    <t>2032</t>
  </si>
  <si>
    <t>40.97</t>
  </si>
  <si>
    <t>13.93</t>
  </si>
  <si>
    <t>131</t>
  </si>
  <si>
    <t>72877</t>
  </si>
  <si>
    <t>98042</t>
  </si>
  <si>
    <t>48.1</t>
  </si>
  <si>
    <t>50.5</t>
  </si>
  <si>
    <t>349</t>
  </si>
  <si>
    <t>98032</t>
  </si>
  <si>
    <t>5181.96</t>
  </si>
  <si>
    <t>18508.11</t>
  </si>
  <si>
    <t>396</t>
  </si>
  <si>
    <t>424</t>
  </si>
  <si>
    <t>433</t>
  </si>
  <si>
    <t>445</t>
  </si>
  <si>
    <t>461</t>
  </si>
  <si>
    <t>469</t>
  </si>
  <si>
    <t>474</t>
  </si>
  <si>
    <t>478</t>
  </si>
  <si>
    <t>486</t>
  </si>
  <si>
    <t>80217</t>
  </si>
  <si>
    <t>78.6</t>
  </si>
  <si>
    <t>82.4</t>
  </si>
  <si>
    <t>119</t>
  </si>
  <si>
    <t>49024</t>
  </si>
  <si>
    <t>3169.55</t>
  </si>
  <si>
    <t>11736.87</t>
  </si>
  <si>
    <t>379</t>
  </si>
  <si>
    <t>94.8</t>
  </si>
  <si>
    <t>99.4</t>
  </si>
  <si>
    <t>401</t>
  </si>
  <si>
    <t>194767</t>
  </si>
  <si>
    <t>10337.45</t>
  </si>
  <si>
    <t>10398.41</t>
  </si>
  <si>
    <t>494</t>
  </si>
  <si>
    <t>644</t>
  </si>
  <si>
    <t>12780</t>
  </si>
  <si>
    <t>13042</t>
  </si>
  <si>
    <t>73925</t>
  </si>
  <si>
    <t>102237</t>
  </si>
  <si>
    <t>109577</t>
  </si>
  <si>
    <t>162530</t>
  </si>
  <si>
    <t>328</t>
  </si>
  <si>
    <t>82.1</t>
  </si>
  <si>
    <t>86.1</t>
  </si>
  <si>
    <t>168191</t>
  </si>
  <si>
    <t>11044.11</t>
  </si>
  <si>
    <t>34310.32</t>
  </si>
  <si>
    <t>23987</t>
  </si>
  <si>
    <t>107480</t>
  </si>
  <si>
    <t>145753</t>
  </si>
  <si>
    <t>152044</t>
  </si>
  <si>
    <t>156238</t>
  </si>
  <si>
    <t>168821</t>
  </si>
  <si>
    <t>527</t>
  </si>
  <si>
    <t>132</t>
  </si>
  <si>
    <t>138</t>
  </si>
  <si>
    <t>377</t>
  </si>
  <si>
    <t>202154</t>
  </si>
  <si>
    <t>6710.36</t>
  </si>
  <si>
    <t>22043.94</t>
  </si>
  <si>
    <t>408</t>
  </si>
  <si>
    <t>498</t>
  </si>
  <si>
    <t>906</t>
  </si>
  <si>
    <t>139461</t>
  </si>
  <si>
    <t>160433</t>
  </si>
  <si>
    <t>170918</t>
  </si>
  <si>
    <t>687</t>
  </si>
  <si>
    <t>348</t>
  </si>
  <si>
    <t>184078</t>
  </si>
  <si>
    <t>5772.49</t>
  </si>
  <si>
    <t>18133.72</t>
  </si>
  <si>
    <t>490</t>
  </si>
  <si>
    <t>873</t>
  </si>
  <si>
    <t>938</t>
  </si>
  <si>
    <t>101188</t>
  </si>
  <si>
    <t>183501</t>
  </si>
  <si>
    <t>不准确的LPN</t>
    <phoneticPr fontId="1" type="noConversion"/>
  </si>
  <si>
    <t>model number</t>
    <phoneticPr fontId="1" type="noConversion"/>
  </si>
  <si>
    <t>Inaccurate LPNs</t>
    <phoneticPr fontId="1" type="noConversion"/>
  </si>
  <si>
    <t>inaccurate model</t>
    <phoneticPr fontId="1" type="noConversion"/>
  </si>
  <si>
    <t>SeqRead</t>
  </si>
  <si>
    <t>error=1</t>
    <phoneticPr fontId="1" type="noConversion"/>
  </si>
  <si>
    <t>error=2</t>
    <phoneticPr fontId="1" type="noConversion"/>
  </si>
  <si>
    <t>545</t>
  </si>
  <si>
    <t>945</t>
  </si>
  <si>
    <t>564</t>
  </si>
  <si>
    <t>33.57</t>
  </si>
  <si>
    <t>48.79</t>
  </si>
  <si>
    <t>537</t>
  </si>
  <si>
    <t>894</t>
  </si>
  <si>
    <t>937</t>
  </si>
  <si>
    <t>6595</t>
  </si>
  <si>
    <t>33.83</t>
  </si>
  <si>
    <t>70.00</t>
  </si>
  <si>
    <t>619</t>
  </si>
  <si>
    <t>RandRead</t>
    <phoneticPr fontId="1" type="noConversion"/>
  </si>
  <si>
    <t>921</t>
  </si>
  <si>
    <t>966</t>
  </si>
  <si>
    <t>224</t>
  </si>
  <si>
    <t>32.50</t>
  </si>
  <si>
    <t>225</t>
  </si>
  <si>
    <t>10.7x</t>
    <phoneticPr fontId="1" type="noConversion"/>
  </si>
  <si>
    <t>Seqwrite(1)</t>
    <phoneticPr fontId="1" type="noConversion"/>
  </si>
  <si>
    <t>Seqwrite(4)</t>
    <phoneticPr fontId="1" type="noConversion"/>
  </si>
  <si>
    <t>Seqwrite(8)</t>
    <phoneticPr fontId="1" type="noConversion"/>
  </si>
  <si>
    <t>Seqwrite(16)</t>
    <phoneticPr fontId="1" type="noConversion"/>
  </si>
  <si>
    <t>RandRead(1)</t>
    <phoneticPr fontId="1" type="noConversion"/>
  </si>
  <si>
    <t>RandRead(4)</t>
    <phoneticPr fontId="1" type="noConversion"/>
  </si>
  <si>
    <t>RandRead(8)</t>
    <phoneticPr fontId="1" type="noConversion"/>
  </si>
  <si>
    <t>RandRead(16)</t>
    <phoneticPr fontId="1" type="noConversion"/>
  </si>
  <si>
    <t>877</t>
  </si>
  <si>
    <t>36.02</t>
  </si>
  <si>
    <t>727</t>
  </si>
  <si>
    <t>12582</t>
  </si>
  <si>
    <t>43.91</t>
  </si>
  <si>
    <t>88.67</t>
  </si>
  <si>
    <t>562</t>
  </si>
  <si>
    <t>247</t>
  </si>
  <si>
    <t>26.64</t>
  </si>
  <si>
    <t>34.52</t>
  </si>
  <si>
    <t>48.86</t>
  </si>
  <si>
    <t>963</t>
  </si>
  <si>
    <t>775</t>
  </si>
  <si>
    <t>1582</t>
  </si>
  <si>
    <t>1113</t>
  </si>
  <si>
    <t>1167</t>
  </si>
  <si>
    <t>292</t>
  </si>
  <si>
    <t>26.91</t>
  </si>
  <si>
    <t>627</t>
  </si>
  <si>
    <t>26.8k</t>
  </si>
  <si>
    <t>15401</t>
  </si>
  <si>
    <t>nci</t>
  </si>
  <si>
    <t>error=0</t>
  </si>
  <si>
    <t>Seqwrite(numjob=1)</t>
  </si>
  <si>
    <t>Base-ZNS</t>
  </si>
  <si>
    <t>MT-ZNS</t>
  </si>
  <si>
    <t>Balloon-ZNS</t>
  </si>
  <si>
    <t>Lemonade-slow</t>
  </si>
  <si>
    <t>Lemonade</t>
  </si>
  <si>
    <t>Seqwrite(numjob=4)</t>
  </si>
  <si>
    <t>Seqwrite(numjob=8)</t>
  </si>
  <si>
    <t>Seqwrite(numjob=16)</t>
  </si>
  <si>
    <t>IOPS(k)</t>
  </si>
  <si>
    <t>SeqRead(numjob=1)</t>
  </si>
  <si>
    <t>SeqRead(numjob=4)</t>
  </si>
  <si>
    <t>SeqRead(numjob=8)</t>
  </si>
  <si>
    <t>SeqRead(numjob=16)</t>
  </si>
  <si>
    <t>RandomRead(numbjob=1)</t>
  </si>
  <si>
    <t>RandomRead(numbjob=4)</t>
  </si>
  <si>
    <t>RandomRead(numbjob=8)</t>
  </si>
  <si>
    <t>RandomRead(numbjob=16)</t>
  </si>
  <si>
    <t>hgdp</t>
  </si>
  <si>
    <t>10.7x</t>
  </si>
  <si>
    <t>Seqwrite(1)</t>
  </si>
  <si>
    <t>Seqwrite(4)</t>
  </si>
  <si>
    <t>Seqwrite(8)</t>
  </si>
  <si>
    <t>Seqwrite(16)</t>
  </si>
  <si>
    <t>SeqRead(1)</t>
  </si>
  <si>
    <t>SeqRead(4)</t>
  </si>
  <si>
    <t>SeqRead(8)</t>
  </si>
  <si>
    <t>SeqRead(16)</t>
  </si>
  <si>
    <t>RandRead(1)</t>
  </si>
  <si>
    <t>RandRead(4)</t>
  </si>
  <si>
    <t>RandRead(8)</t>
  </si>
  <si>
    <t>RandRead(16)</t>
  </si>
  <si>
    <t>webster</t>
  </si>
  <si>
    <t>Seqwrite(numbjob=1)</t>
  </si>
  <si>
    <t>RandomRead</t>
  </si>
  <si>
    <t>xml</t>
  </si>
  <si>
    <t>Seqwrite</t>
  </si>
  <si>
    <t>osdb</t>
  </si>
  <si>
    <t>RandomRead(numjob=16)</t>
  </si>
  <si>
    <t>ooffice</t>
  </si>
  <si>
    <t>RandomRead(1)</t>
  </si>
  <si>
    <t>RandomRead(4)</t>
  </si>
  <si>
    <t>RandomRead(8)</t>
  </si>
  <si>
    <t>RandomRead(16)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</si>
</sst>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"/>
    <numFmt numFmtId="177" formatCode="0.0"/>
  </numFmts>
  <fonts count="5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8"/>
      <color rgb="FFC00000"/>
      <name val="等线"/>
      <family val="3"/>
      <charset val="134"/>
      <scheme val="minor"/>
    </font>
    <font>
      <i/>
      <sz val="11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3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3" borderId="0" xfId="0" applyFill="1">
      <alignment vertical="center"/>
    </xf>
    <xf numFmtId="0" fontId="0" fillId="4" borderId="0" xfId="0" applyFill="1">
      <alignment vertical="center"/>
    </xf>
    <xf numFmtId="0" fontId="0" fillId="5" borderId="0" xfId="0" applyFill="1">
      <alignment vertical="center"/>
    </xf>
    <xf numFmtId="0" fontId="0" fillId="0" borderId="0" xfId="0" applyAlignment="1">
      <alignment horizontal="left" vertical="center"/>
    </xf>
    <xf numFmtId="0" fontId="0" fillId="0" borderId="0" xfId="0" applyFill="1">
      <alignment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0" xfId="0" applyAlignment="1"/>
    <xf numFmtId="0" fontId="2" fillId="0" borderId="0" xfId="0" applyFont="1" applyFill="1" applyAlignment="1">
      <alignment horizontal="center" vertical="center"/>
    </xf>
    <xf numFmtId="0" fontId="0" fillId="6" borderId="0" xfId="0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8" xfId="0" applyFill="1" applyBorder="1" applyAlignment="1">
      <alignment horizontal="center" vertical="center"/>
    </xf>
    <xf numFmtId="0" fontId="0" fillId="0" borderId="8" xfId="0" applyFill="1" applyBorder="1" applyAlignment="1">
      <alignment horizontal="center" vertical="center" wrapText="1"/>
    </xf>
    <xf numFmtId="10" fontId="0" fillId="0" borderId="0" xfId="0" applyNumberFormat="1">
      <alignment vertical="center"/>
    </xf>
    <xf numFmtId="0" fontId="0" fillId="0" borderId="0" xfId="0" applyAlignment="1">
      <alignment vertical="center" wrapText="1"/>
    </xf>
    <xf numFmtId="0" fontId="0" fillId="0" borderId="0" xfId="0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6" borderId="3" xfId="0" applyFill="1" applyBorder="1" applyAlignment="1">
      <alignment horizontal="center" vertical="center"/>
    </xf>
    <xf numFmtId="0" fontId="0" fillId="6" borderId="5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6" borderId="0" xfId="0" applyFill="1" applyAlignment="1">
      <alignment horizontal="center" vertical="center"/>
    </xf>
    <xf numFmtId="10" fontId="0" fillId="6" borderId="1" xfId="0" applyNumberFormat="1" applyFill="1" applyBorder="1" applyAlignment="1">
      <alignment horizontal="center" vertical="center"/>
    </xf>
    <xf numFmtId="9" fontId="0" fillId="6" borderId="1" xfId="0" applyNumberFormat="1" applyFill="1" applyBorder="1" applyAlignment="1">
      <alignment horizontal="center" vertical="center"/>
    </xf>
    <xf numFmtId="10" fontId="0" fillId="6" borderId="2" xfId="0" applyNumberFormat="1" applyFill="1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1" fontId="0" fillId="6" borderId="1" xfId="0" applyNumberFormat="1" applyFill="1" applyBorder="1" applyAlignment="1">
      <alignment horizontal="center" vertical="center"/>
    </xf>
    <xf numFmtId="0" fontId="0" fillId="6" borderId="11" xfId="0" applyFill="1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1" fontId="0" fillId="0" borderId="1" xfId="0" applyNumberFormat="1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5" xfId="0" applyBorder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5" xfId="0" applyFill="1" applyBorder="1" applyAlignment="1">
      <alignment horizontal="center" vertical="center"/>
    </xf>
    <xf numFmtId="10" fontId="0" fillId="0" borderId="5" xfId="0" applyNumberFormat="1" applyFill="1" applyBorder="1" applyAlignment="1">
      <alignment horizontal="center" vertical="center"/>
    </xf>
    <xf numFmtId="9" fontId="0" fillId="0" borderId="5" xfId="0" applyNumberFormat="1" applyFill="1" applyBorder="1" applyAlignment="1">
      <alignment horizontal="center" vertical="center"/>
    </xf>
    <xf numFmtId="177" fontId="0" fillId="6" borderId="0" xfId="0" applyNumberFormat="1" applyFill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0" xfId="0" applyFill="1" applyAlignment="1">
      <alignment horizontal="center"/>
    </xf>
    <xf numFmtId="0" fontId="0" fillId="0" borderId="2" xfId="0" applyFill="1" applyBorder="1" applyAlignment="1">
      <alignment horizontal="center" vertical="center"/>
    </xf>
    <xf numFmtId="10" fontId="0" fillId="0" borderId="1" xfId="0" applyNumberFormat="1" applyFill="1" applyBorder="1" applyAlignment="1">
      <alignment horizontal="center" vertical="center"/>
    </xf>
    <xf numFmtId="9" fontId="0" fillId="0" borderId="1" xfId="0" applyNumberFormat="1" applyFill="1" applyBorder="1" applyAlignment="1">
      <alignment horizontal="center" vertical="center"/>
    </xf>
    <xf numFmtId="10" fontId="0" fillId="0" borderId="2" xfId="0" applyNumberFormat="1" applyFill="1" applyBorder="1" applyAlignment="1">
      <alignment horizontal="center" vertical="center"/>
    </xf>
    <xf numFmtId="177" fontId="0" fillId="6" borderId="1" xfId="0" applyNumberFormat="1" applyFill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77" fontId="0" fillId="0" borderId="1" xfId="0" applyNumberFormat="1" applyBorder="1" applyAlignment="1">
      <alignment horizontal="center" vertical="center"/>
    </xf>
    <xf numFmtId="2" fontId="0" fillId="6" borderId="1" xfId="0" applyNumberFormat="1" applyFill="1" applyBorder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0" fontId="0" fillId="0" borderId="8" xfId="0" applyNumberFormat="1" applyFill="1" applyBorder="1" applyAlignment="1">
      <alignment horizontal="center" vertical="center"/>
    </xf>
    <xf numFmtId="0" fontId="3" fillId="0" borderId="8" xfId="0" applyFont="1" applyFill="1" applyBorder="1" applyAlignment="1">
      <alignment horizontal="center" vertical="center"/>
    </xf>
    <xf numFmtId="10" fontId="0" fillId="0" borderId="3" xfId="0" applyNumberFormat="1" applyFill="1" applyBorder="1" applyAlignment="1">
      <alignment horizontal="center" vertical="center"/>
    </xf>
    <xf numFmtId="10" fontId="0" fillId="6" borderId="5" xfId="0" applyNumberFormat="1" applyFill="1" applyBorder="1" applyAlignment="1">
      <alignment horizontal="center" vertical="center"/>
    </xf>
    <xf numFmtId="10" fontId="0" fillId="0" borderId="0" xfId="0" applyNumberForma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10" fontId="0" fillId="0" borderId="0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9" fontId="0" fillId="6" borderId="5" xfId="0" applyNumberFormat="1" applyFill="1" applyBorder="1" applyAlignment="1">
      <alignment horizontal="center" vertical="center"/>
    </xf>
    <xf numFmtId="176" fontId="0" fillId="6" borderId="1" xfId="0" applyNumberFormat="1" applyFill="1" applyBorder="1" applyAlignment="1">
      <alignment horizontal="center" vertical="center"/>
    </xf>
    <xf numFmtId="10" fontId="0" fillId="6" borderId="4" xfId="0" applyNumberFormat="1" applyFill="1" applyBorder="1" applyAlignment="1">
      <alignment horizontal="center" vertical="center"/>
    </xf>
    <xf numFmtId="10" fontId="0" fillId="6" borderId="3" xfId="0" applyNumberFormat="1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 wrapText="1"/>
    </xf>
    <xf numFmtId="0" fontId="0" fillId="0" borderId="0" xfId="0" applyFill="1" applyAlignment="1">
      <alignment horizontal="center" vertical="center"/>
    </xf>
    <xf numFmtId="0" fontId="0" fillId="6" borderId="5" xfId="0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77" fontId="0" fillId="0" borderId="0" xfId="0" applyNumberFormat="1" applyAlignment="1">
      <alignment horizontal="center"/>
    </xf>
    <xf numFmtId="0" fontId="0" fillId="0" borderId="0" xfId="0" applyFill="1" applyBorder="1" applyAlignment="1">
      <alignment vertical="center"/>
    </xf>
    <xf numFmtId="1" fontId="0" fillId="0" borderId="2" xfId="0" applyNumberFormat="1" applyFill="1" applyBorder="1" applyAlignment="1">
      <alignment horizontal="center" vertical="center"/>
    </xf>
    <xf numFmtId="177" fontId="0" fillId="0" borderId="1" xfId="0" applyNumberFormat="1" applyFill="1" applyBorder="1" applyAlignment="1">
      <alignment horizontal="center" vertical="center"/>
    </xf>
    <xf numFmtId="176" fontId="0" fillId="0" borderId="1" xfId="0" applyNumberFormat="1" applyFill="1" applyBorder="1" applyAlignment="1">
      <alignment horizontal="center" vertical="center"/>
    </xf>
    <xf numFmtId="177" fontId="0" fillId="0" borderId="5" xfId="0" applyNumberFormat="1" applyFill="1" applyBorder="1" applyAlignment="1">
      <alignment horizontal="center" vertical="center"/>
    </xf>
    <xf numFmtId="1" fontId="0" fillId="0" borderId="5" xfId="0" applyNumberFormat="1" applyFill="1" applyBorder="1" applyAlignment="1">
      <alignment horizontal="center" vertical="center"/>
    </xf>
    <xf numFmtId="1" fontId="0" fillId="0" borderId="13" xfId="0" applyNumberFormat="1" applyFill="1" applyBorder="1" applyAlignment="1">
      <alignment horizontal="center" vertical="center"/>
    </xf>
    <xf numFmtId="177" fontId="0" fillId="0" borderId="1" xfId="0" applyNumberFormat="1" applyBorder="1" applyAlignment="1">
      <alignment horizontal="left" vertical="center" indent="2"/>
    </xf>
    <xf numFmtId="10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" fontId="0" fillId="0" borderId="2" xfId="0" applyNumberFormat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6" borderId="5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10" fontId="0" fillId="6" borderId="12" xfId="0" applyNumberFormat="1" applyFill="1" applyBorder="1" applyAlignment="1">
      <alignment horizontal="center" vertical="center"/>
    </xf>
    <xf numFmtId="0" fontId="0" fillId="6" borderId="1" xfId="0" applyFill="1" applyBorder="1" applyAlignment="1">
      <alignment horizontal="center"/>
    </xf>
    <xf numFmtId="0" fontId="0" fillId="0" borderId="0" xfId="0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7" borderId="7" xfId="0" applyFill="1" applyBorder="1" applyAlignment="1">
      <alignment horizontal="center" vertical="center"/>
    </xf>
    <xf numFmtId="0" fontId="0" fillId="0" borderId="7" xfId="0" applyBorder="1" applyAlignment="1">
      <alignment horizontal="center" vertical="center" wrapText="1"/>
    </xf>
    <xf numFmtId="0" fontId="0" fillId="0" borderId="7" xfId="0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6" borderId="3" xfId="0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0" fillId="6" borderId="5" xfId="0" applyFill="1" applyBorder="1" applyAlignment="1">
      <alignment horizontal="center" vertical="center"/>
    </xf>
    <xf numFmtId="0" fontId="0" fillId="7" borderId="7" xfId="0" applyFill="1" applyBorder="1" applyAlignment="1">
      <alignment horizontal="center" vertical="center" wrapText="1"/>
    </xf>
    <xf numFmtId="0" fontId="0" fillId="7" borderId="9" xfId="0" applyFill="1" applyBorder="1" applyAlignment="1">
      <alignment horizontal="center" vertical="center" wrapText="1"/>
    </xf>
    <xf numFmtId="0" fontId="0" fillId="6" borderId="7" xfId="0" applyFill="1" applyBorder="1" applyAlignment="1">
      <alignment horizontal="center" vertical="center" wrapText="1"/>
    </xf>
    <xf numFmtId="0" fontId="0" fillId="6" borderId="9" xfId="0" applyFill="1" applyBorder="1" applyAlignment="1">
      <alignment horizontal="center" vertical="center" wrapText="1"/>
    </xf>
    <xf numFmtId="0" fontId="0" fillId="6" borderId="10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3" xfId="0" applyFill="1" applyBorder="1" applyAlignment="1">
      <alignment horizontal="center" vertical="center" wrapText="1"/>
    </xf>
    <xf numFmtId="0" fontId="0" fillId="0" borderId="4" xfId="0" applyFill="1" applyBorder="1" applyAlignment="1">
      <alignment horizontal="center" vertical="center" wrapText="1"/>
    </xf>
    <xf numFmtId="0" fontId="0" fillId="0" borderId="5" xfId="0" applyFill="1" applyBorder="1" applyAlignment="1">
      <alignment horizontal="center" vertical="center" wrapText="1"/>
    </xf>
    <xf numFmtId="0" fontId="0" fillId="4" borderId="7" xfId="0" applyFill="1" applyBorder="1" applyAlignment="1">
      <alignment horizontal="center" vertical="center" wrapText="1"/>
    </xf>
    <xf numFmtId="0" fontId="0" fillId="0" borderId="7" xfId="0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  <xf numFmtId="0" fontId="0" fillId="4" borderId="9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6" borderId="7" xfId="0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FIO write test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Sheet1!$B$12</c:f>
              <c:strCache>
                <c:ptCount val="1"/>
                <c:pt idx="0">
                  <c:v>base-ZNS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Sheet1!$A$13:$A$17</c:f>
              <c:strCache>
                <c:ptCount val="5"/>
                <c:pt idx="0">
                  <c:v>IOPS</c:v>
                </c:pt>
                <c:pt idx="1">
                  <c:v>BW(MB/s)</c:v>
                </c:pt>
                <c:pt idx="2">
                  <c:v>99%lat (usec)</c:v>
                </c:pt>
                <c:pt idx="3">
                  <c:v>99.9%lat</c:v>
                </c:pt>
                <c:pt idx="4">
                  <c:v>99.99%lat</c:v>
                </c:pt>
              </c:strCache>
            </c:strRef>
          </c:cat>
          <c:val>
            <c:numRef>
              <c:f>Sheet1!$B$13:$B$17</c:f>
              <c:numCache>
                <c:formatCode>General</c:formatCode>
                <c:ptCount val="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4B-4A97-8038-0132A9B68399}"/>
            </c:ext>
          </c:extLst>
        </c:ser>
        <c:ser>
          <c:idx val="1"/>
          <c:order val="1"/>
          <c:tx>
            <c:strRef>
              <c:f>Sheet1!$C$12</c:f>
              <c:strCache>
                <c:ptCount val="1"/>
                <c:pt idx="0">
                  <c:v>ZWL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Sheet1!$A$13:$A$17</c:f>
              <c:strCache>
                <c:ptCount val="5"/>
                <c:pt idx="0">
                  <c:v>IOPS</c:v>
                </c:pt>
                <c:pt idx="1">
                  <c:v>BW(MB/s)</c:v>
                </c:pt>
                <c:pt idx="2">
                  <c:v>99%lat (usec)</c:v>
                </c:pt>
                <c:pt idx="3">
                  <c:v>99.9%lat</c:v>
                </c:pt>
                <c:pt idx="4">
                  <c:v>99.99%lat</c:v>
                </c:pt>
              </c:strCache>
            </c:strRef>
          </c:cat>
          <c:val>
            <c:numRef>
              <c:f>Sheet1!$C$13:$C$17</c:f>
              <c:numCache>
                <c:formatCode>General</c:formatCode>
                <c:ptCount val="5"/>
                <c:pt idx="0">
                  <c:v>1.70625</c:v>
                </c:pt>
                <c:pt idx="1">
                  <c:v>1.7220543806646527</c:v>
                </c:pt>
                <c:pt idx="2">
                  <c:v>0.5</c:v>
                </c:pt>
                <c:pt idx="3">
                  <c:v>0.5</c:v>
                </c:pt>
                <c:pt idx="4">
                  <c:v>0.49486976339290079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F4B-4A97-8038-0132A9B683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837894879"/>
        <c:axId val="837895295"/>
        <c:axId val="0"/>
      </c:bar3DChart>
      <c:catAx>
        <c:axId val="8378948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37895295"/>
        <c:crosses val="autoZero"/>
        <c:auto val="1"/>
        <c:lblAlgn val="ctr"/>
        <c:lblOffset val="100"/>
        <c:noMultiLvlLbl val="0"/>
      </c:catAx>
      <c:valAx>
        <c:axId val="8378952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378948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376237</xdr:colOff>
      <xdr:row>15</xdr:row>
      <xdr:rowOff>95250</xdr:rowOff>
    </xdr:from>
    <xdr:to>
      <xdr:col>5</xdr:col>
      <xdr:colOff>604837</xdr:colOff>
      <xdr:row>30</xdr:row>
      <xdr:rowOff>123825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079B84E9-7A34-41E8-AA50-417E037068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65235-D2D4-43F8-ADF2-9A31535C64C7}">
  <dimension ref="A1:F17"/>
  <sheetViews>
    <sheetView topLeftCell="A4" workbookViewId="0">
      <selection activeCell="K45" sqref="K45"/>
    </sheetView>
  </sheetViews>
  <sheetFormatPr defaultRowHeight="14.25" x14ac:dyDescent="0.2"/>
  <cols>
    <col min="1" max="1" width="13.625" customWidth="1"/>
    <col min="4" max="4" width="16.375" customWidth="1"/>
  </cols>
  <sheetData>
    <row r="1" spans="1:6" x14ac:dyDescent="0.2">
      <c r="B1" t="s">
        <v>2</v>
      </c>
      <c r="C1" t="s">
        <v>5</v>
      </c>
      <c r="D1" t="s">
        <v>6</v>
      </c>
      <c r="E1" t="s">
        <v>3</v>
      </c>
      <c r="F1" t="s">
        <v>4</v>
      </c>
    </row>
    <row r="2" spans="1:6" x14ac:dyDescent="0.2">
      <c r="A2" t="s">
        <v>0</v>
      </c>
      <c r="B2">
        <v>320</v>
      </c>
      <c r="C2">
        <v>9.93</v>
      </c>
      <c r="D2">
        <v>98042</v>
      </c>
      <c r="E2">
        <v>98042</v>
      </c>
      <c r="F2">
        <v>102237</v>
      </c>
    </row>
    <row r="3" spans="1:6" x14ac:dyDescent="0.2">
      <c r="A3" t="s">
        <v>1</v>
      </c>
      <c r="B3">
        <v>546</v>
      </c>
      <c r="C3">
        <v>17.100000000000001</v>
      </c>
      <c r="D3">
        <v>49021</v>
      </c>
      <c r="E3">
        <v>49021</v>
      </c>
      <c r="F3">
        <v>50594</v>
      </c>
    </row>
    <row r="6" spans="1:6" x14ac:dyDescent="0.2">
      <c r="B6" t="s">
        <v>0</v>
      </c>
      <c r="C6" t="s">
        <v>1</v>
      </c>
      <c r="D6" t="s">
        <v>1</v>
      </c>
      <c r="E6" t="s">
        <v>7</v>
      </c>
    </row>
    <row r="7" spans="1:6" x14ac:dyDescent="0.2">
      <c r="A7" t="s">
        <v>2</v>
      </c>
      <c r="B7">
        <v>320</v>
      </c>
      <c r="C7">
        <v>546</v>
      </c>
      <c r="D7">
        <f>C7/B7</f>
        <v>1.70625</v>
      </c>
      <c r="E7">
        <v>1</v>
      </c>
      <c r="F7" t="s">
        <v>2</v>
      </c>
    </row>
    <row r="8" spans="1:6" x14ac:dyDescent="0.2">
      <c r="A8" t="s">
        <v>5</v>
      </c>
      <c r="B8">
        <v>9.93</v>
      </c>
      <c r="C8">
        <v>17.100000000000001</v>
      </c>
      <c r="D8">
        <f>C8/B8</f>
        <v>1.7220543806646527</v>
      </c>
      <c r="E8">
        <v>1</v>
      </c>
      <c r="F8" t="s">
        <v>5</v>
      </c>
    </row>
    <row r="9" spans="1:6" x14ac:dyDescent="0.2">
      <c r="A9" t="s">
        <v>6</v>
      </c>
      <c r="B9">
        <v>98042</v>
      </c>
      <c r="C9">
        <v>49021</v>
      </c>
      <c r="D9">
        <f>C9/B9</f>
        <v>0.5</v>
      </c>
      <c r="E9">
        <v>1</v>
      </c>
      <c r="F9" t="s">
        <v>6</v>
      </c>
    </row>
    <row r="10" spans="1:6" x14ac:dyDescent="0.2">
      <c r="A10" t="s">
        <v>3</v>
      </c>
      <c r="B10">
        <v>98042</v>
      </c>
      <c r="C10">
        <v>49021</v>
      </c>
      <c r="D10">
        <f>C10/B10</f>
        <v>0.5</v>
      </c>
      <c r="E10">
        <v>1</v>
      </c>
      <c r="F10" t="s">
        <v>3</v>
      </c>
    </row>
    <row r="11" spans="1:6" x14ac:dyDescent="0.2">
      <c r="A11" t="s">
        <v>4</v>
      </c>
      <c r="B11">
        <v>102237</v>
      </c>
      <c r="C11">
        <v>50594</v>
      </c>
      <c r="D11">
        <f>C11/B11</f>
        <v>0.49486976339290079</v>
      </c>
      <c r="E11">
        <v>1</v>
      </c>
      <c r="F11" t="s">
        <v>4</v>
      </c>
    </row>
    <row r="12" spans="1:6" x14ac:dyDescent="0.2">
      <c r="B12" t="s">
        <v>0</v>
      </c>
      <c r="C12" t="s">
        <v>1</v>
      </c>
    </row>
    <row r="13" spans="1:6" x14ac:dyDescent="0.2">
      <c r="A13" t="s">
        <v>2</v>
      </c>
      <c r="B13">
        <v>1</v>
      </c>
      <c r="C13">
        <v>1.70625</v>
      </c>
    </row>
    <row r="14" spans="1:6" x14ac:dyDescent="0.2">
      <c r="A14" t="s">
        <v>5</v>
      </c>
      <c r="B14">
        <v>1</v>
      </c>
      <c r="C14">
        <v>1.7220543806646527</v>
      </c>
    </row>
    <row r="15" spans="1:6" x14ac:dyDescent="0.2">
      <c r="A15" t="s">
        <v>6</v>
      </c>
      <c r="B15">
        <v>1</v>
      </c>
      <c r="C15">
        <v>0.5</v>
      </c>
    </row>
    <row r="16" spans="1:6" x14ac:dyDescent="0.2">
      <c r="A16" t="s">
        <v>3</v>
      </c>
      <c r="B16">
        <v>1</v>
      </c>
      <c r="C16">
        <v>0.5</v>
      </c>
    </row>
    <row r="17" spans="1:3" x14ac:dyDescent="0.2">
      <c r="A17" t="s">
        <v>4</v>
      </c>
      <c r="B17">
        <v>1</v>
      </c>
      <c r="C17">
        <v>0.49486976339290079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D7A943-3825-42DB-9B8D-C3FE472708CA}">
  <dimension ref="A1:W137"/>
  <sheetViews>
    <sheetView topLeftCell="A19" workbookViewId="0">
      <selection activeCell="G61" sqref="G61:W61"/>
    </sheetView>
  </sheetViews>
  <sheetFormatPr defaultRowHeight="14.25" x14ac:dyDescent="0.2"/>
  <cols>
    <col min="1" max="1" width="22.375" customWidth="1"/>
    <col min="2" max="2" width="11" customWidth="1"/>
    <col min="3" max="3" width="9.625" customWidth="1"/>
    <col min="4" max="4" width="14.25" customWidth="1"/>
    <col min="5" max="5" width="10.625" customWidth="1"/>
    <col min="6" max="6" width="12.5" customWidth="1"/>
    <col min="21" max="21" width="11.625" bestFit="1" customWidth="1"/>
  </cols>
  <sheetData>
    <row r="1" spans="1:23" x14ac:dyDescent="0.2">
      <c r="A1" s="110" t="s">
        <v>33</v>
      </c>
      <c r="B1" s="110"/>
      <c r="C1" s="110"/>
      <c r="D1" s="110"/>
      <c r="E1" s="110"/>
      <c r="F1" s="110"/>
      <c r="G1" s="110"/>
      <c r="H1" s="110"/>
      <c r="I1" s="110"/>
      <c r="J1" s="110"/>
    </row>
    <row r="2" spans="1:23" x14ac:dyDescent="0.2">
      <c r="A2" s="2" t="s">
        <v>30</v>
      </c>
      <c r="B2" t="s">
        <v>27</v>
      </c>
      <c r="C2" t="s">
        <v>2</v>
      </c>
      <c r="D2" t="s">
        <v>29</v>
      </c>
      <c r="E2" t="s">
        <v>28</v>
      </c>
      <c r="F2" t="s">
        <v>10</v>
      </c>
      <c r="G2" t="s">
        <v>11</v>
      </c>
      <c r="H2" t="s">
        <v>12</v>
      </c>
      <c r="I2" t="s">
        <v>13</v>
      </c>
      <c r="J2" t="s">
        <v>14</v>
      </c>
      <c r="K2" t="s">
        <v>15</v>
      </c>
      <c r="L2" t="s">
        <v>16</v>
      </c>
      <c r="M2" t="s">
        <v>17</v>
      </c>
      <c r="N2" t="s">
        <v>18</v>
      </c>
      <c r="O2" t="s">
        <v>19</v>
      </c>
      <c r="P2" t="s">
        <v>20</v>
      </c>
      <c r="Q2" t="s">
        <v>21</v>
      </c>
      <c r="R2" t="s">
        <v>22</v>
      </c>
      <c r="S2" t="s">
        <v>23</v>
      </c>
      <c r="T2" t="s">
        <v>24</v>
      </c>
      <c r="U2" t="s">
        <v>25</v>
      </c>
      <c r="V2" t="s">
        <v>26</v>
      </c>
      <c r="W2" t="s">
        <v>32</v>
      </c>
    </row>
    <row r="3" spans="1:23" s="1" customFormat="1" x14ac:dyDescent="0.2">
      <c r="A3" s="5" t="s">
        <v>8</v>
      </c>
      <c r="B3" s="1">
        <v>19.100000000000001</v>
      </c>
      <c r="C3" s="1">
        <v>612</v>
      </c>
      <c r="D3" s="1">
        <v>28</v>
      </c>
      <c r="E3" s="1">
        <v>51219</v>
      </c>
      <c r="F3" s="1">
        <v>1627.68</v>
      </c>
      <c r="G3" s="1">
        <v>90</v>
      </c>
      <c r="H3" s="1">
        <v>96</v>
      </c>
      <c r="I3" s="1">
        <v>98</v>
      </c>
      <c r="J3" s="1">
        <v>100</v>
      </c>
      <c r="K3" s="1">
        <v>101</v>
      </c>
      <c r="L3" s="1">
        <v>102</v>
      </c>
      <c r="M3" s="1">
        <v>104</v>
      </c>
      <c r="N3" s="1">
        <v>106</v>
      </c>
      <c r="O3" s="1">
        <v>111</v>
      </c>
      <c r="P3" s="1">
        <v>120</v>
      </c>
      <c r="Q3" s="1">
        <v>131</v>
      </c>
      <c r="R3" s="1">
        <v>149</v>
      </c>
      <c r="S3" s="1">
        <v>49021</v>
      </c>
      <c r="T3" s="1">
        <v>49021</v>
      </c>
      <c r="U3" s="1">
        <v>49021</v>
      </c>
      <c r="V3" s="1">
        <v>49021</v>
      </c>
      <c r="W3" s="1">
        <v>51119</v>
      </c>
    </row>
    <row r="4" spans="1:23" s="1" customFormat="1" x14ac:dyDescent="0.2">
      <c r="A4" s="5" t="s">
        <v>9</v>
      </c>
      <c r="B4" s="1">
        <v>109</v>
      </c>
      <c r="C4" s="1">
        <v>3499</v>
      </c>
      <c r="D4" s="1">
        <v>58</v>
      </c>
      <c r="E4" s="1">
        <v>34738</v>
      </c>
      <c r="F4" s="1">
        <v>281.64999999999998</v>
      </c>
      <c r="G4" s="1">
        <v>66</v>
      </c>
      <c r="H4" s="1">
        <v>71</v>
      </c>
      <c r="I4" s="1">
        <v>73</v>
      </c>
      <c r="J4" s="1">
        <v>75</v>
      </c>
      <c r="K4" s="1">
        <v>76</v>
      </c>
      <c r="L4" s="1">
        <v>77</v>
      </c>
      <c r="M4" s="1">
        <v>78</v>
      </c>
      <c r="N4" s="1">
        <v>78</v>
      </c>
      <c r="O4" s="1">
        <v>79</v>
      </c>
      <c r="P4" s="1">
        <v>80</v>
      </c>
      <c r="Q4" s="1">
        <v>91</v>
      </c>
      <c r="R4" s="1">
        <v>99</v>
      </c>
      <c r="S4" s="1">
        <v>12256</v>
      </c>
      <c r="T4" s="1">
        <v>12256</v>
      </c>
      <c r="U4" s="1">
        <v>12387</v>
      </c>
      <c r="V4" s="1">
        <v>12387</v>
      </c>
      <c r="W4" s="1">
        <v>12911</v>
      </c>
    </row>
    <row r="7" spans="1:23" x14ac:dyDescent="0.2">
      <c r="A7" s="3" t="s">
        <v>31</v>
      </c>
      <c r="B7" t="s">
        <v>27</v>
      </c>
      <c r="C7" t="s">
        <v>2</v>
      </c>
      <c r="D7" t="s">
        <v>29</v>
      </c>
      <c r="E7" t="s">
        <v>28</v>
      </c>
      <c r="F7" t="s">
        <v>10</v>
      </c>
      <c r="G7" t="s">
        <v>11</v>
      </c>
      <c r="H7" t="s">
        <v>12</v>
      </c>
      <c r="I7" t="s">
        <v>13</v>
      </c>
      <c r="J7" t="s">
        <v>14</v>
      </c>
      <c r="K7" t="s">
        <v>15</v>
      </c>
      <c r="L7" t="s">
        <v>16</v>
      </c>
      <c r="M7" t="s">
        <v>17</v>
      </c>
      <c r="N7" t="s">
        <v>18</v>
      </c>
      <c r="O7" t="s">
        <v>19</v>
      </c>
      <c r="P7" t="s">
        <v>20</v>
      </c>
      <c r="Q7" t="s">
        <v>21</v>
      </c>
      <c r="R7" t="s">
        <v>22</v>
      </c>
      <c r="S7" t="s">
        <v>23</v>
      </c>
      <c r="T7" t="s">
        <v>24</v>
      </c>
      <c r="U7" t="s">
        <v>25</v>
      </c>
      <c r="V7" t="s">
        <v>26</v>
      </c>
      <c r="W7" t="s">
        <v>32</v>
      </c>
    </row>
    <row r="8" spans="1:23" s="1" customFormat="1" x14ac:dyDescent="0.2">
      <c r="A8" s="5" t="s">
        <v>8</v>
      </c>
      <c r="B8" s="1">
        <v>232</v>
      </c>
      <c r="C8" s="1">
        <v>7413</v>
      </c>
      <c r="D8" s="1">
        <v>25</v>
      </c>
      <c r="E8" s="1">
        <v>536</v>
      </c>
      <c r="F8" s="1">
        <v>132.76</v>
      </c>
      <c r="G8" s="1">
        <v>29</v>
      </c>
      <c r="H8" s="1">
        <v>31</v>
      </c>
      <c r="I8" s="1">
        <v>32</v>
      </c>
      <c r="J8" s="1">
        <v>32</v>
      </c>
      <c r="K8" s="1">
        <v>32</v>
      </c>
      <c r="L8" s="1">
        <v>32</v>
      </c>
      <c r="M8" s="1">
        <v>32</v>
      </c>
      <c r="N8" s="1">
        <v>33</v>
      </c>
      <c r="O8" s="1">
        <v>36</v>
      </c>
      <c r="P8" s="1">
        <v>416</v>
      </c>
      <c r="Q8" s="1">
        <v>433</v>
      </c>
      <c r="R8" s="1">
        <v>469</v>
      </c>
      <c r="S8" s="1">
        <v>474</v>
      </c>
      <c r="T8" s="1">
        <v>482</v>
      </c>
      <c r="U8" s="1">
        <v>498</v>
      </c>
      <c r="V8" s="1">
        <v>502</v>
      </c>
      <c r="W8" s="1">
        <v>537</v>
      </c>
    </row>
    <row r="9" spans="1:23" s="1" customFormat="1" x14ac:dyDescent="0.2">
      <c r="A9" s="5" t="s">
        <v>9</v>
      </c>
      <c r="B9" s="1">
        <v>308</v>
      </c>
      <c r="C9" s="1">
        <v>9846</v>
      </c>
      <c r="D9" s="1">
        <v>30</v>
      </c>
      <c r="E9" s="1">
        <v>464</v>
      </c>
      <c r="F9" s="1">
        <v>100.32</v>
      </c>
      <c r="G9" s="1">
        <v>96</v>
      </c>
      <c r="H9" s="1">
        <v>97</v>
      </c>
      <c r="I9" s="1">
        <v>98</v>
      </c>
      <c r="J9" s="1">
        <v>98</v>
      </c>
      <c r="K9" s="1">
        <v>99</v>
      </c>
      <c r="L9" s="1">
        <v>99</v>
      </c>
      <c r="M9" s="1">
        <v>99</v>
      </c>
      <c r="N9" s="1">
        <v>100</v>
      </c>
      <c r="O9" s="1">
        <v>100</v>
      </c>
      <c r="P9" s="1">
        <v>101</v>
      </c>
      <c r="Q9" s="1">
        <v>108</v>
      </c>
      <c r="R9" s="1">
        <v>184</v>
      </c>
      <c r="S9" s="1">
        <v>192</v>
      </c>
      <c r="T9" s="1">
        <v>277</v>
      </c>
      <c r="U9" s="1">
        <v>281</v>
      </c>
      <c r="V9" s="1">
        <v>285</v>
      </c>
      <c r="W9" s="1">
        <v>1876</v>
      </c>
    </row>
    <row r="11" spans="1:23" x14ac:dyDescent="0.2">
      <c r="A11" s="4" t="s">
        <v>34</v>
      </c>
      <c r="B11" t="s">
        <v>27</v>
      </c>
      <c r="C11" t="s">
        <v>2</v>
      </c>
      <c r="D11" t="s">
        <v>29</v>
      </c>
      <c r="E11" t="s">
        <v>28</v>
      </c>
      <c r="F11" t="s">
        <v>10</v>
      </c>
      <c r="G11" t="s">
        <v>11</v>
      </c>
      <c r="H11" t="s">
        <v>12</v>
      </c>
      <c r="I11" t="s">
        <v>13</v>
      </c>
      <c r="J11" t="s">
        <v>14</v>
      </c>
      <c r="K11" t="s">
        <v>15</v>
      </c>
      <c r="L11" t="s">
        <v>16</v>
      </c>
      <c r="M11" t="s">
        <v>17</v>
      </c>
      <c r="N11" t="s">
        <v>18</v>
      </c>
      <c r="O11" t="s">
        <v>19</v>
      </c>
      <c r="P11" t="s">
        <v>20</v>
      </c>
      <c r="Q11" t="s">
        <v>21</v>
      </c>
      <c r="R11" t="s">
        <v>22</v>
      </c>
      <c r="S11" t="s">
        <v>23</v>
      </c>
      <c r="T11" t="s">
        <v>24</v>
      </c>
      <c r="U11" t="s">
        <v>25</v>
      </c>
      <c r="V11" t="s">
        <v>26</v>
      </c>
      <c r="W11" t="s">
        <v>32</v>
      </c>
    </row>
    <row r="12" spans="1:23" x14ac:dyDescent="0.2">
      <c r="A12" t="s">
        <v>8</v>
      </c>
      <c r="B12">
        <v>222</v>
      </c>
      <c r="C12">
        <v>7118</v>
      </c>
      <c r="D12">
        <v>28</v>
      </c>
      <c r="E12">
        <v>16169</v>
      </c>
      <c r="F12">
        <v>137.91</v>
      </c>
      <c r="G12">
        <v>34</v>
      </c>
      <c r="H12">
        <v>37</v>
      </c>
      <c r="I12">
        <v>38</v>
      </c>
      <c r="J12">
        <v>40</v>
      </c>
      <c r="K12">
        <v>42</v>
      </c>
      <c r="L12">
        <v>44</v>
      </c>
      <c r="M12">
        <v>46</v>
      </c>
      <c r="N12">
        <v>49</v>
      </c>
      <c r="O12">
        <v>55</v>
      </c>
      <c r="P12">
        <v>400</v>
      </c>
      <c r="Q12">
        <v>429</v>
      </c>
      <c r="R12">
        <v>437</v>
      </c>
      <c r="S12">
        <v>449</v>
      </c>
      <c r="T12">
        <v>453</v>
      </c>
      <c r="U12">
        <v>474</v>
      </c>
      <c r="V12">
        <v>482</v>
      </c>
      <c r="W12">
        <v>783</v>
      </c>
    </row>
    <row r="13" spans="1:23" x14ac:dyDescent="0.2">
      <c r="A13" t="s">
        <v>9</v>
      </c>
      <c r="B13">
        <v>285</v>
      </c>
      <c r="C13">
        <v>9111</v>
      </c>
      <c r="D13">
        <v>28</v>
      </c>
      <c r="E13">
        <v>25243</v>
      </c>
      <c r="F13">
        <v>108.53</v>
      </c>
      <c r="G13">
        <v>96</v>
      </c>
      <c r="H13">
        <v>98</v>
      </c>
      <c r="I13">
        <v>98</v>
      </c>
      <c r="J13">
        <v>99</v>
      </c>
      <c r="K13">
        <v>99</v>
      </c>
      <c r="L13">
        <v>99</v>
      </c>
      <c r="M13">
        <v>100</v>
      </c>
      <c r="N13">
        <v>100</v>
      </c>
      <c r="O13">
        <v>101</v>
      </c>
      <c r="P13">
        <v>102</v>
      </c>
      <c r="Q13">
        <v>110</v>
      </c>
      <c r="R13">
        <v>184</v>
      </c>
      <c r="S13">
        <v>194</v>
      </c>
      <c r="T13">
        <v>277</v>
      </c>
      <c r="U13">
        <v>281</v>
      </c>
      <c r="V13">
        <v>289</v>
      </c>
      <c r="W13">
        <v>17171</v>
      </c>
    </row>
    <row r="17" spans="1:23" x14ac:dyDescent="0.2">
      <c r="A17" s="110" t="s">
        <v>35</v>
      </c>
      <c r="B17" s="110"/>
      <c r="C17" s="110"/>
      <c r="D17" s="110"/>
      <c r="E17" s="110"/>
      <c r="F17" s="110"/>
      <c r="G17" s="110"/>
      <c r="H17" s="110"/>
      <c r="I17" s="110"/>
      <c r="J17" s="110"/>
    </row>
    <row r="18" spans="1:23" x14ac:dyDescent="0.2">
      <c r="A18" s="2" t="s">
        <v>30</v>
      </c>
      <c r="B18" t="s">
        <v>27</v>
      </c>
      <c r="C18" t="s">
        <v>2</v>
      </c>
      <c r="D18" t="s">
        <v>29</v>
      </c>
      <c r="E18" t="s">
        <v>28</v>
      </c>
      <c r="F18" t="s">
        <v>10</v>
      </c>
      <c r="G18" t="s">
        <v>11</v>
      </c>
      <c r="H18" t="s">
        <v>12</v>
      </c>
      <c r="I18" t="s">
        <v>13</v>
      </c>
      <c r="J18" t="s">
        <v>14</v>
      </c>
      <c r="K18" t="s">
        <v>15</v>
      </c>
      <c r="L18" t="s">
        <v>16</v>
      </c>
      <c r="M18" t="s">
        <v>17</v>
      </c>
      <c r="N18" t="s">
        <v>18</v>
      </c>
      <c r="O18" t="s">
        <v>19</v>
      </c>
      <c r="P18" t="s">
        <v>20</v>
      </c>
      <c r="Q18" t="s">
        <v>21</v>
      </c>
      <c r="R18" t="s">
        <v>22</v>
      </c>
      <c r="S18" t="s">
        <v>23</v>
      </c>
      <c r="T18" t="s">
        <v>24</v>
      </c>
      <c r="U18" t="s">
        <v>25</v>
      </c>
      <c r="V18" t="s">
        <v>26</v>
      </c>
      <c r="W18" t="s">
        <v>32</v>
      </c>
    </row>
    <row r="19" spans="1:23" x14ac:dyDescent="0.2">
      <c r="A19" t="s">
        <v>8</v>
      </c>
      <c r="B19">
        <v>19.100000000000001</v>
      </c>
      <c r="C19">
        <v>612</v>
      </c>
      <c r="D19">
        <v>28</v>
      </c>
      <c r="E19">
        <v>51219</v>
      </c>
      <c r="F19">
        <v>1627.68</v>
      </c>
      <c r="G19">
        <v>90</v>
      </c>
      <c r="H19">
        <v>96</v>
      </c>
      <c r="I19">
        <v>98</v>
      </c>
      <c r="J19">
        <v>100</v>
      </c>
      <c r="K19">
        <v>101</v>
      </c>
      <c r="L19">
        <v>102</v>
      </c>
      <c r="M19">
        <v>104</v>
      </c>
      <c r="N19">
        <v>106</v>
      </c>
      <c r="O19">
        <v>111</v>
      </c>
      <c r="P19">
        <v>120</v>
      </c>
      <c r="Q19">
        <v>131</v>
      </c>
      <c r="R19">
        <v>149</v>
      </c>
      <c r="S19">
        <v>49021</v>
      </c>
      <c r="T19">
        <v>49021</v>
      </c>
      <c r="U19">
        <v>49021</v>
      </c>
      <c r="V19">
        <v>49021</v>
      </c>
      <c r="W19">
        <v>51119</v>
      </c>
    </row>
    <row r="20" spans="1:23" x14ac:dyDescent="0.2">
      <c r="A20" t="s">
        <v>9</v>
      </c>
      <c r="B20">
        <v>109</v>
      </c>
      <c r="C20">
        <v>3510</v>
      </c>
      <c r="D20">
        <v>54</v>
      </c>
      <c r="E20">
        <v>15177</v>
      </c>
      <c r="F20">
        <v>283.10000000000002</v>
      </c>
    </row>
    <row r="23" spans="1:23" x14ac:dyDescent="0.2">
      <c r="A23" s="3" t="s">
        <v>31</v>
      </c>
      <c r="B23" t="s">
        <v>27</v>
      </c>
      <c r="C23" t="s">
        <v>2</v>
      </c>
      <c r="D23" t="s">
        <v>29</v>
      </c>
      <c r="E23" t="s">
        <v>28</v>
      </c>
      <c r="F23" t="s">
        <v>10</v>
      </c>
      <c r="G23" t="s">
        <v>11</v>
      </c>
      <c r="H23" t="s">
        <v>12</v>
      </c>
      <c r="I23" t="s">
        <v>13</v>
      </c>
      <c r="J23" t="s">
        <v>14</v>
      </c>
      <c r="K23" t="s">
        <v>15</v>
      </c>
      <c r="L23" t="s">
        <v>16</v>
      </c>
      <c r="M23" t="s">
        <v>17</v>
      </c>
      <c r="N23" t="s">
        <v>18</v>
      </c>
      <c r="O23" t="s">
        <v>19</v>
      </c>
      <c r="P23" t="s">
        <v>20</v>
      </c>
      <c r="Q23" t="s">
        <v>21</v>
      </c>
      <c r="R23" t="s">
        <v>22</v>
      </c>
      <c r="S23" t="s">
        <v>23</v>
      </c>
      <c r="T23" t="s">
        <v>24</v>
      </c>
      <c r="U23" t="s">
        <v>25</v>
      </c>
      <c r="V23" t="s">
        <v>26</v>
      </c>
      <c r="W23" t="s">
        <v>32</v>
      </c>
    </row>
    <row r="24" spans="1:23" x14ac:dyDescent="0.2">
      <c r="A24" t="s">
        <v>8</v>
      </c>
      <c r="B24">
        <v>232</v>
      </c>
      <c r="C24">
        <v>7413</v>
      </c>
      <c r="D24">
        <v>25</v>
      </c>
      <c r="E24">
        <v>536</v>
      </c>
      <c r="F24">
        <v>132.76</v>
      </c>
      <c r="G24">
        <v>29</v>
      </c>
      <c r="H24">
        <v>31</v>
      </c>
      <c r="I24">
        <v>32</v>
      </c>
      <c r="J24">
        <v>32</v>
      </c>
      <c r="K24">
        <v>32</v>
      </c>
      <c r="L24">
        <v>32</v>
      </c>
      <c r="M24">
        <v>32</v>
      </c>
      <c r="N24">
        <v>33</v>
      </c>
      <c r="O24">
        <v>36</v>
      </c>
      <c r="P24">
        <v>416</v>
      </c>
      <c r="Q24">
        <v>433</v>
      </c>
      <c r="R24">
        <v>469</v>
      </c>
      <c r="S24">
        <v>474</v>
      </c>
      <c r="T24">
        <v>482</v>
      </c>
      <c r="U24">
        <v>498</v>
      </c>
      <c r="V24">
        <v>502</v>
      </c>
      <c r="W24">
        <v>537</v>
      </c>
    </row>
    <row r="25" spans="1:23" x14ac:dyDescent="0.2">
      <c r="A25" t="s">
        <v>9</v>
      </c>
      <c r="B25">
        <v>181</v>
      </c>
      <c r="C25">
        <v>5806</v>
      </c>
      <c r="D25">
        <v>33</v>
      </c>
      <c r="E25">
        <v>22488</v>
      </c>
      <c r="F25">
        <v>170.12</v>
      </c>
      <c r="G25">
        <v>103</v>
      </c>
      <c r="H25">
        <v>105</v>
      </c>
      <c r="I25">
        <v>106</v>
      </c>
      <c r="J25">
        <v>110</v>
      </c>
      <c r="K25">
        <v>116</v>
      </c>
      <c r="L25">
        <v>117</v>
      </c>
      <c r="M25">
        <v>119</v>
      </c>
      <c r="N25">
        <v>123</v>
      </c>
      <c r="O25">
        <v>200</v>
      </c>
      <c r="P25">
        <v>285</v>
      </c>
      <c r="Q25">
        <v>289</v>
      </c>
      <c r="R25">
        <v>289</v>
      </c>
      <c r="S25">
        <v>302</v>
      </c>
      <c r="T25">
        <v>310</v>
      </c>
      <c r="U25">
        <v>652</v>
      </c>
      <c r="V25">
        <v>676</v>
      </c>
      <c r="W25">
        <v>16188</v>
      </c>
    </row>
    <row r="27" spans="1:23" x14ac:dyDescent="0.2">
      <c r="A27" s="4" t="s">
        <v>34</v>
      </c>
      <c r="B27" t="s">
        <v>27</v>
      </c>
      <c r="C27" t="s">
        <v>2</v>
      </c>
      <c r="D27" t="s">
        <v>29</v>
      </c>
      <c r="E27" t="s">
        <v>28</v>
      </c>
      <c r="F27" t="s">
        <v>10</v>
      </c>
      <c r="G27" t="s">
        <v>11</v>
      </c>
      <c r="H27" t="s">
        <v>12</v>
      </c>
      <c r="I27" t="s">
        <v>13</v>
      </c>
      <c r="J27" t="s">
        <v>14</v>
      </c>
      <c r="K27" t="s">
        <v>15</v>
      </c>
      <c r="L27" t="s">
        <v>16</v>
      </c>
      <c r="M27" t="s">
        <v>17</v>
      </c>
      <c r="N27" t="s">
        <v>18</v>
      </c>
      <c r="O27" t="s">
        <v>19</v>
      </c>
      <c r="P27" t="s">
        <v>20</v>
      </c>
      <c r="Q27" t="s">
        <v>21</v>
      </c>
      <c r="R27" t="s">
        <v>22</v>
      </c>
      <c r="S27" t="s">
        <v>23</v>
      </c>
      <c r="T27" t="s">
        <v>24</v>
      </c>
      <c r="U27" t="s">
        <v>25</v>
      </c>
      <c r="V27" t="s">
        <v>26</v>
      </c>
      <c r="W27" t="s">
        <v>32</v>
      </c>
    </row>
    <row r="28" spans="1:23" x14ac:dyDescent="0.2">
      <c r="A28" t="s">
        <v>8</v>
      </c>
    </row>
    <row r="29" spans="1:23" x14ac:dyDescent="0.2">
      <c r="A29" t="s">
        <v>9</v>
      </c>
      <c r="B29">
        <v>181</v>
      </c>
      <c r="C29">
        <v>5806</v>
      </c>
      <c r="D29">
        <v>33</v>
      </c>
      <c r="E29">
        <v>16363</v>
      </c>
      <c r="F29">
        <v>169.82</v>
      </c>
      <c r="G29">
        <v>103</v>
      </c>
      <c r="H29">
        <v>105</v>
      </c>
      <c r="I29">
        <v>106</v>
      </c>
      <c r="J29">
        <v>112</v>
      </c>
      <c r="K29">
        <v>116</v>
      </c>
      <c r="L29">
        <v>118</v>
      </c>
      <c r="M29">
        <v>119</v>
      </c>
      <c r="N29">
        <v>125</v>
      </c>
      <c r="O29">
        <v>202</v>
      </c>
      <c r="P29">
        <v>285</v>
      </c>
      <c r="Q29">
        <v>289</v>
      </c>
      <c r="R29">
        <v>289</v>
      </c>
      <c r="S29">
        <v>302</v>
      </c>
      <c r="T29">
        <v>310</v>
      </c>
      <c r="U29">
        <v>668</v>
      </c>
      <c r="V29">
        <v>791</v>
      </c>
      <c r="W29">
        <v>4555</v>
      </c>
    </row>
    <row r="33" spans="1:23" x14ac:dyDescent="0.2">
      <c r="A33" s="110" t="s">
        <v>39</v>
      </c>
      <c r="B33" s="110"/>
      <c r="C33" s="110"/>
      <c r="D33" s="110"/>
      <c r="E33" s="110"/>
      <c r="F33" s="110"/>
      <c r="G33" s="110"/>
      <c r="H33" s="110"/>
      <c r="I33" s="110"/>
      <c r="J33" s="110"/>
    </row>
    <row r="34" spans="1:23" x14ac:dyDescent="0.2">
      <c r="A34" s="2" t="s">
        <v>30</v>
      </c>
      <c r="B34" t="s">
        <v>27</v>
      </c>
      <c r="C34" t="s">
        <v>2</v>
      </c>
      <c r="D34" t="s">
        <v>29</v>
      </c>
      <c r="E34" t="s">
        <v>28</v>
      </c>
      <c r="F34" t="s">
        <v>10</v>
      </c>
      <c r="G34" t="s">
        <v>11</v>
      </c>
      <c r="H34" t="s">
        <v>12</v>
      </c>
      <c r="I34" t="s">
        <v>13</v>
      </c>
      <c r="J34" t="s">
        <v>14</v>
      </c>
      <c r="K34" t="s">
        <v>15</v>
      </c>
      <c r="L34" t="s">
        <v>16</v>
      </c>
      <c r="M34" t="s">
        <v>17</v>
      </c>
      <c r="N34" t="s">
        <v>18</v>
      </c>
      <c r="O34" t="s">
        <v>19</v>
      </c>
      <c r="P34" t="s">
        <v>20</v>
      </c>
      <c r="Q34" t="s">
        <v>21</v>
      </c>
      <c r="R34" t="s">
        <v>22</v>
      </c>
      <c r="S34" t="s">
        <v>23</v>
      </c>
      <c r="T34" t="s">
        <v>24</v>
      </c>
      <c r="U34" t="s">
        <v>25</v>
      </c>
      <c r="V34" t="s">
        <v>26</v>
      </c>
      <c r="W34" t="s">
        <v>32</v>
      </c>
    </row>
    <row r="35" spans="1:23" x14ac:dyDescent="0.2">
      <c r="A35" t="s">
        <v>8</v>
      </c>
    </row>
    <row r="36" spans="1:23" x14ac:dyDescent="0.2">
      <c r="A36" t="s">
        <v>9</v>
      </c>
    </row>
    <row r="39" spans="1:23" x14ac:dyDescent="0.2">
      <c r="A39" s="3" t="s">
        <v>31</v>
      </c>
      <c r="B39" t="s">
        <v>27</v>
      </c>
      <c r="C39" t="s">
        <v>2</v>
      </c>
      <c r="D39" t="s">
        <v>29</v>
      </c>
      <c r="E39" t="s">
        <v>28</v>
      </c>
      <c r="F39" t="s">
        <v>10</v>
      </c>
      <c r="G39" t="s">
        <v>11</v>
      </c>
      <c r="H39" t="s">
        <v>12</v>
      </c>
      <c r="I39" t="s">
        <v>13</v>
      </c>
      <c r="J39" t="s">
        <v>14</v>
      </c>
      <c r="K39" t="s">
        <v>15</v>
      </c>
      <c r="L39" t="s">
        <v>16</v>
      </c>
      <c r="M39" t="s">
        <v>17</v>
      </c>
      <c r="N39" t="s">
        <v>18</v>
      </c>
      <c r="O39" t="s">
        <v>19</v>
      </c>
      <c r="P39" t="s">
        <v>20</v>
      </c>
      <c r="Q39" t="s">
        <v>21</v>
      </c>
      <c r="R39" t="s">
        <v>22</v>
      </c>
      <c r="S39" t="s">
        <v>23</v>
      </c>
      <c r="T39" t="s">
        <v>24</v>
      </c>
      <c r="U39" t="s">
        <v>25</v>
      </c>
      <c r="V39" t="s">
        <v>26</v>
      </c>
      <c r="W39" t="s">
        <v>32</v>
      </c>
    </row>
    <row r="40" spans="1:23" x14ac:dyDescent="0.2">
      <c r="A40" t="s">
        <v>8</v>
      </c>
      <c r="B40">
        <v>239</v>
      </c>
      <c r="C40">
        <v>7650</v>
      </c>
      <c r="D40">
        <v>16</v>
      </c>
      <c r="E40">
        <v>27406</v>
      </c>
      <c r="F40">
        <v>136.75</v>
      </c>
      <c r="G40">
        <v>20</v>
      </c>
      <c r="H40">
        <v>23</v>
      </c>
      <c r="I40">
        <v>23</v>
      </c>
      <c r="J40">
        <v>24</v>
      </c>
      <c r="K40">
        <v>27</v>
      </c>
      <c r="L40">
        <v>29</v>
      </c>
      <c r="M40">
        <v>36</v>
      </c>
      <c r="N40">
        <v>39</v>
      </c>
      <c r="O40">
        <v>45</v>
      </c>
      <c r="P40">
        <v>424</v>
      </c>
      <c r="Q40">
        <v>445</v>
      </c>
      <c r="R40">
        <v>482</v>
      </c>
      <c r="S40">
        <v>498</v>
      </c>
      <c r="T40">
        <v>502</v>
      </c>
      <c r="U40">
        <v>537</v>
      </c>
      <c r="V40">
        <v>570</v>
      </c>
      <c r="W40">
        <v>3392</v>
      </c>
    </row>
    <row r="41" spans="1:23" x14ac:dyDescent="0.2">
      <c r="A41" t="s">
        <v>9</v>
      </c>
      <c r="B41">
        <v>293</v>
      </c>
      <c r="C41">
        <v>9389</v>
      </c>
      <c r="D41">
        <v>16</v>
      </c>
      <c r="E41">
        <v>28727</v>
      </c>
      <c r="F41">
        <v>115.22</v>
      </c>
      <c r="G41">
        <v>100</v>
      </c>
      <c r="H41">
        <v>101</v>
      </c>
      <c r="I41">
        <v>102</v>
      </c>
      <c r="J41">
        <v>102</v>
      </c>
      <c r="K41">
        <v>103</v>
      </c>
      <c r="L41">
        <v>104</v>
      </c>
      <c r="M41">
        <v>104</v>
      </c>
      <c r="N41">
        <v>105</v>
      </c>
      <c r="O41">
        <v>108</v>
      </c>
      <c r="P41">
        <v>111</v>
      </c>
      <c r="Q41">
        <v>120</v>
      </c>
      <c r="R41">
        <v>188</v>
      </c>
      <c r="S41">
        <v>204</v>
      </c>
      <c r="T41">
        <v>281</v>
      </c>
      <c r="U41">
        <v>293</v>
      </c>
      <c r="V41">
        <v>314</v>
      </c>
      <c r="W41">
        <v>16712</v>
      </c>
    </row>
    <row r="43" spans="1:23" x14ac:dyDescent="0.2">
      <c r="A43" s="4" t="s">
        <v>34</v>
      </c>
      <c r="B43" t="s">
        <v>27</v>
      </c>
      <c r="C43" t="s">
        <v>2</v>
      </c>
      <c r="D43" t="s">
        <v>29</v>
      </c>
      <c r="E43" t="s">
        <v>28</v>
      </c>
      <c r="F43" t="s">
        <v>10</v>
      </c>
      <c r="G43" t="s">
        <v>11</v>
      </c>
      <c r="H43" t="s">
        <v>12</v>
      </c>
      <c r="I43" t="s">
        <v>13</v>
      </c>
      <c r="J43" t="s">
        <v>14</v>
      </c>
      <c r="K43" t="s">
        <v>15</v>
      </c>
      <c r="L43" t="s">
        <v>16</v>
      </c>
      <c r="M43" t="s">
        <v>17</v>
      </c>
      <c r="N43" t="s">
        <v>18</v>
      </c>
      <c r="O43" t="s">
        <v>19</v>
      </c>
      <c r="P43" t="s">
        <v>20</v>
      </c>
      <c r="Q43" t="s">
        <v>21</v>
      </c>
      <c r="R43" t="s">
        <v>22</v>
      </c>
      <c r="S43" t="s">
        <v>23</v>
      </c>
      <c r="T43" t="s">
        <v>24</v>
      </c>
      <c r="U43" t="s">
        <v>25</v>
      </c>
      <c r="V43" t="s">
        <v>26</v>
      </c>
      <c r="W43" t="s">
        <v>32</v>
      </c>
    </row>
    <row r="44" spans="1:23" x14ac:dyDescent="0.2">
      <c r="A44" t="s">
        <v>8</v>
      </c>
      <c r="B44">
        <v>307</v>
      </c>
      <c r="C44">
        <v>9815</v>
      </c>
      <c r="D44">
        <v>16</v>
      </c>
      <c r="E44">
        <v>21362</v>
      </c>
      <c r="F44">
        <v>146.09</v>
      </c>
      <c r="G44">
        <v>22</v>
      </c>
      <c r="H44">
        <v>25</v>
      </c>
      <c r="I44">
        <v>28</v>
      </c>
      <c r="J44">
        <v>36</v>
      </c>
      <c r="K44">
        <v>42</v>
      </c>
      <c r="L44">
        <v>48</v>
      </c>
      <c r="M44">
        <v>55</v>
      </c>
      <c r="N44">
        <v>63</v>
      </c>
      <c r="O44">
        <v>82</v>
      </c>
      <c r="P44">
        <v>392</v>
      </c>
      <c r="Q44">
        <v>433</v>
      </c>
      <c r="R44">
        <v>457</v>
      </c>
      <c r="S44">
        <v>545</v>
      </c>
      <c r="T44">
        <v>652</v>
      </c>
      <c r="U44">
        <v>758</v>
      </c>
      <c r="V44">
        <v>775</v>
      </c>
      <c r="W44">
        <v>2638</v>
      </c>
    </row>
    <row r="45" spans="1:23" x14ac:dyDescent="0.2">
      <c r="A45" t="s">
        <v>9</v>
      </c>
      <c r="B45">
        <v>416</v>
      </c>
      <c r="C45">
        <v>13300</v>
      </c>
      <c r="D45">
        <v>21</v>
      </c>
      <c r="E45">
        <v>25629</v>
      </c>
      <c r="F45">
        <v>125.3</v>
      </c>
      <c r="G45">
        <v>99</v>
      </c>
      <c r="H45">
        <v>101</v>
      </c>
      <c r="I45">
        <v>103</v>
      </c>
      <c r="J45">
        <v>105</v>
      </c>
      <c r="K45">
        <v>108</v>
      </c>
      <c r="L45">
        <v>109</v>
      </c>
      <c r="M45">
        <v>111</v>
      </c>
      <c r="N45">
        <v>114</v>
      </c>
      <c r="O45">
        <v>120</v>
      </c>
      <c r="P45">
        <v>135</v>
      </c>
      <c r="Q45">
        <v>172</v>
      </c>
      <c r="R45">
        <v>194</v>
      </c>
      <c r="S45">
        <v>249</v>
      </c>
      <c r="T45">
        <v>281</v>
      </c>
      <c r="U45">
        <v>326</v>
      </c>
      <c r="V45">
        <v>355</v>
      </c>
      <c r="W45">
        <v>5145</v>
      </c>
    </row>
    <row r="49" spans="1:23" x14ac:dyDescent="0.2">
      <c r="A49" s="110" t="s">
        <v>36</v>
      </c>
      <c r="B49" s="110"/>
      <c r="C49" s="110"/>
      <c r="D49" s="110"/>
      <c r="E49" s="110"/>
      <c r="F49" s="110"/>
      <c r="G49" s="110"/>
      <c r="H49" s="110"/>
      <c r="I49" s="110"/>
      <c r="J49" s="110"/>
    </row>
    <row r="50" spans="1:23" x14ac:dyDescent="0.2">
      <c r="A50" s="2" t="s">
        <v>30</v>
      </c>
      <c r="B50" t="s">
        <v>27</v>
      </c>
      <c r="C50" t="s">
        <v>2</v>
      </c>
      <c r="D50" t="s">
        <v>29</v>
      </c>
      <c r="E50" t="s">
        <v>28</v>
      </c>
      <c r="F50" t="s">
        <v>10</v>
      </c>
      <c r="G50" t="s">
        <v>11</v>
      </c>
      <c r="H50" t="s">
        <v>12</v>
      </c>
      <c r="I50" t="s">
        <v>13</v>
      </c>
      <c r="J50" t="s">
        <v>14</v>
      </c>
      <c r="K50" t="s">
        <v>15</v>
      </c>
      <c r="L50" t="s">
        <v>16</v>
      </c>
      <c r="M50" t="s">
        <v>17</v>
      </c>
      <c r="N50" t="s">
        <v>18</v>
      </c>
      <c r="O50" t="s">
        <v>19</v>
      </c>
      <c r="P50" t="s">
        <v>20</v>
      </c>
      <c r="Q50" t="s">
        <v>21</v>
      </c>
      <c r="R50" t="s">
        <v>22</v>
      </c>
      <c r="S50" t="s">
        <v>23</v>
      </c>
      <c r="T50" t="s">
        <v>24</v>
      </c>
      <c r="U50" t="s">
        <v>25</v>
      </c>
      <c r="V50" t="s">
        <v>26</v>
      </c>
      <c r="W50" t="s">
        <v>32</v>
      </c>
    </row>
    <row r="51" spans="1:23" x14ac:dyDescent="0.2">
      <c r="A51" t="s">
        <v>8</v>
      </c>
    </row>
    <row r="52" spans="1:23" x14ac:dyDescent="0.2">
      <c r="A52" t="s">
        <v>9</v>
      </c>
    </row>
    <row r="55" spans="1:23" x14ac:dyDescent="0.2">
      <c r="A55" s="3" t="s">
        <v>31</v>
      </c>
      <c r="B55" t="s">
        <v>27</v>
      </c>
      <c r="C55" t="s">
        <v>2</v>
      </c>
      <c r="D55" t="s">
        <v>29</v>
      </c>
      <c r="E55" t="s">
        <v>28</v>
      </c>
      <c r="F55" t="s">
        <v>10</v>
      </c>
      <c r="G55" t="s">
        <v>11</v>
      </c>
      <c r="H55" t="s">
        <v>12</v>
      </c>
      <c r="I55" t="s">
        <v>13</v>
      </c>
      <c r="J55" t="s">
        <v>14</v>
      </c>
      <c r="K55" t="s">
        <v>15</v>
      </c>
      <c r="L55" t="s">
        <v>16</v>
      </c>
      <c r="M55" t="s">
        <v>17</v>
      </c>
      <c r="N55" t="s">
        <v>18</v>
      </c>
      <c r="O55" t="s">
        <v>19</v>
      </c>
      <c r="P55" t="s">
        <v>20</v>
      </c>
      <c r="Q55" t="s">
        <v>21</v>
      </c>
      <c r="R55" t="s">
        <v>22</v>
      </c>
      <c r="S55" t="s">
        <v>23</v>
      </c>
      <c r="T55" t="s">
        <v>24</v>
      </c>
      <c r="U55" t="s">
        <v>25</v>
      </c>
      <c r="V55" t="s">
        <v>26</v>
      </c>
      <c r="W55" t="s">
        <v>32</v>
      </c>
    </row>
    <row r="56" spans="1:23" x14ac:dyDescent="0.2">
      <c r="A56" t="s">
        <v>8</v>
      </c>
    </row>
    <row r="57" spans="1:23" x14ac:dyDescent="0.2">
      <c r="A57" t="s">
        <v>9</v>
      </c>
      <c r="B57">
        <v>185</v>
      </c>
      <c r="C57">
        <v>5934</v>
      </c>
      <c r="D57">
        <v>18</v>
      </c>
      <c r="E57">
        <v>30400</v>
      </c>
      <c r="F57">
        <v>182.41</v>
      </c>
      <c r="G57">
        <v>105</v>
      </c>
      <c r="H57">
        <v>109</v>
      </c>
      <c r="I57">
        <v>111</v>
      </c>
      <c r="J57">
        <v>116</v>
      </c>
      <c r="K57">
        <v>121</v>
      </c>
      <c r="L57">
        <v>124</v>
      </c>
      <c r="M57">
        <v>128</v>
      </c>
      <c r="N57">
        <v>145</v>
      </c>
      <c r="O57">
        <v>206</v>
      </c>
      <c r="P57">
        <v>289</v>
      </c>
      <c r="Q57">
        <v>297</v>
      </c>
      <c r="R57">
        <v>302</v>
      </c>
      <c r="S57">
        <v>334</v>
      </c>
      <c r="T57">
        <v>400</v>
      </c>
      <c r="U57">
        <v>685</v>
      </c>
      <c r="V57">
        <v>898</v>
      </c>
      <c r="W57">
        <v>20841</v>
      </c>
    </row>
    <row r="59" spans="1:23" x14ac:dyDescent="0.2">
      <c r="A59" s="4" t="s">
        <v>34</v>
      </c>
      <c r="B59" t="s">
        <v>27</v>
      </c>
      <c r="C59" t="s">
        <v>2</v>
      </c>
      <c r="D59" t="s">
        <v>29</v>
      </c>
      <c r="E59" t="s">
        <v>28</v>
      </c>
      <c r="F59" t="s">
        <v>10</v>
      </c>
      <c r="G59" t="s">
        <v>11</v>
      </c>
      <c r="H59" t="s">
        <v>12</v>
      </c>
      <c r="I59" t="s">
        <v>13</v>
      </c>
      <c r="J59" t="s">
        <v>14</v>
      </c>
      <c r="K59" t="s">
        <v>15</v>
      </c>
      <c r="L59" t="s">
        <v>16</v>
      </c>
      <c r="M59" t="s">
        <v>17</v>
      </c>
      <c r="N59" t="s">
        <v>18</v>
      </c>
      <c r="O59" t="s">
        <v>19</v>
      </c>
      <c r="P59" t="s">
        <v>20</v>
      </c>
      <c r="Q59" t="s">
        <v>21</v>
      </c>
      <c r="R59" t="s">
        <v>22</v>
      </c>
      <c r="S59" t="s">
        <v>23</v>
      </c>
      <c r="T59" t="s">
        <v>24</v>
      </c>
      <c r="U59" t="s">
        <v>25</v>
      </c>
      <c r="V59" t="s">
        <v>26</v>
      </c>
      <c r="W59" t="s">
        <v>32</v>
      </c>
    </row>
    <row r="60" spans="1:23" x14ac:dyDescent="0.2">
      <c r="A60" t="s">
        <v>8</v>
      </c>
    </row>
    <row r="61" spans="1:23" x14ac:dyDescent="0.2">
      <c r="A61" t="s">
        <v>9</v>
      </c>
      <c r="B61">
        <v>275</v>
      </c>
      <c r="C61">
        <v>8812</v>
      </c>
      <c r="D61">
        <v>20</v>
      </c>
      <c r="E61">
        <v>29471</v>
      </c>
      <c r="F61">
        <v>184.69</v>
      </c>
      <c r="G61">
        <v>105</v>
      </c>
      <c r="H61">
        <v>110</v>
      </c>
      <c r="I61">
        <v>113</v>
      </c>
      <c r="J61">
        <v>117</v>
      </c>
      <c r="K61">
        <v>121</v>
      </c>
      <c r="L61">
        <v>126</v>
      </c>
      <c r="M61">
        <v>135</v>
      </c>
      <c r="N61">
        <v>165</v>
      </c>
      <c r="O61">
        <v>212</v>
      </c>
      <c r="P61">
        <v>289</v>
      </c>
      <c r="Q61">
        <v>297</v>
      </c>
      <c r="R61">
        <v>310</v>
      </c>
      <c r="S61">
        <v>359</v>
      </c>
      <c r="T61">
        <v>404</v>
      </c>
      <c r="U61">
        <v>676</v>
      </c>
      <c r="V61">
        <v>807</v>
      </c>
      <c r="W61">
        <v>19530</v>
      </c>
    </row>
    <row r="65" spans="1:23" x14ac:dyDescent="0.2">
      <c r="A65" s="110" t="s">
        <v>37</v>
      </c>
      <c r="B65" s="110"/>
      <c r="C65" s="110"/>
      <c r="D65" s="110"/>
      <c r="E65" s="110"/>
      <c r="F65" s="110"/>
      <c r="G65" s="110"/>
      <c r="H65" s="110"/>
      <c r="I65" s="110"/>
      <c r="J65" s="110"/>
    </row>
    <row r="66" spans="1:23" x14ac:dyDescent="0.2">
      <c r="A66" s="2" t="s">
        <v>30</v>
      </c>
      <c r="B66" t="s">
        <v>27</v>
      </c>
      <c r="C66" t="s">
        <v>2</v>
      </c>
      <c r="D66" t="s">
        <v>29</v>
      </c>
      <c r="E66" t="s">
        <v>28</v>
      </c>
      <c r="F66" t="s">
        <v>10</v>
      </c>
      <c r="G66" t="s">
        <v>11</v>
      </c>
      <c r="H66" t="s">
        <v>12</v>
      </c>
      <c r="I66" t="s">
        <v>13</v>
      </c>
      <c r="J66" t="s">
        <v>14</v>
      </c>
      <c r="K66" t="s">
        <v>15</v>
      </c>
      <c r="L66" t="s">
        <v>16</v>
      </c>
      <c r="M66" t="s">
        <v>17</v>
      </c>
      <c r="N66" t="s">
        <v>18</v>
      </c>
      <c r="O66" t="s">
        <v>19</v>
      </c>
      <c r="P66" t="s">
        <v>20</v>
      </c>
      <c r="Q66" t="s">
        <v>21</v>
      </c>
      <c r="R66" t="s">
        <v>22</v>
      </c>
      <c r="S66" t="s">
        <v>23</v>
      </c>
      <c r="T66" t="s">
        <v>24</v>
      </c>
      <c r="U66" t="s">
        <v>25</v>
      </c>
      <c r="V66" t="s">
        <v>26</v>
      </c>
      <c r="W66" t="s">
        <v>32</v>
      </c>
    </row>
    <row r="67" spans="1:23" x14ac:dyDescent="0.2">
      <c r="A67" t="s">
        <v>8</v>
      </c>
    </row>
    <row r="68" spans="1:23" x14ac:dyDescent="0.2">
      <c r="A68" t="s">
        <v>9</v>
      </c>
    </row>
    <row r="71" spans="1:23" x14ac:dyDescent="0.2">
      <c r="A71" s="3" t="s">
        <v>31</v>
      </c>
      <c r="B71" t="s">
        <v>27</v>
      </c>
      <c r="C71" t="s">
        <v>2</v>
      </c>
      <c r="D71" t="s">
        <v>29</v>
      </c>
      <c r="E71" t="s">
        <v>28</v>
      </c>
      <c r="F71" t="s">
        <v>10</v>
      </c>
      <c r="G71" t="s">
        <v>11</v>
      </c>
      <c r="H71" t="s">
        <v>12</v>
      </c>
      <c r="I71" t="s">
        <v>13</v>
      </c>
      <c r="J71" t="s">
        <v>14</v>
      </c>
      <c r="K71" t="s">
        <v>15</v>
      </c>
      <c r="L71" t="s">
        <v>16</v>
      </c>
      <c r="M71" t="s">
        <v>17</v>
      </c>
      <c r="N71" t="s">
        <v>18</v>
      </c>
      <c r="O71" t="s">
        <v>19</v>
      </c>
      <c r="P71" t="s">
        <v>20</v>
      </c>
      <c r="Q71" t="s">
        <v>21</v>
      </c>
      <c r="R71" t="s">
        <v>22</v>
      </c>
      <c r="S71" t="s">
        <v>23</v>
      </c>
      <c r="T71" t="s">
        <v>24</v>
      </c>
      <c r="U71" t="s">
        <v>25</v>
      </c>
      <c r="V71" t="s">
        <v>26</v>
      </c>
      <c r="W71" t="s">
        <v>32</v>
      </c>
    </row>
    <row r="72" spans="1:23" x14ac:dyDescent="0.2">
      <c r="A72" t="s">
        <v>8</v>
      </c>
      <c r="B72">
        <v>241</v>
      </c>
      <c r="C72">
        <v>7699</v>
      </c>
      <c r="D72">
        <v>13</v>
      </c>
      <c r="E72">
        <v>29836</v>
      </c>
      <c r="F72">
        <v>137.69999999999999</v>
      </c>
      <c r="G72">
        <v>20</v>
      </c>
      <c r="H72">
        <v>22</v>
      </c>
      <c r="I72">
        <v>23</v>
      </c>
      <c r="J72">
        <v>24</v>
      </c>
      <c r="K72">
        <v>26</v>
      </c>
      <c r="L72">
        <v>28</v>
      </c>
      <c r="M72">
        <v>31</v>
      </c>
      <c r="N72">
        <v>37</v>
      </c>
      <c r="O72">
        <v>47</v>
      </c>
      <c r="P72">
        <v>420</v>
      </c>
      <c r="Q72">
        <v>445</v>
      </c>
      <c r="R72">
        <v>478</v>
      </c>
      <c r="S72">
        <v>498</v>
      </c>
      <c r="T72">
        <v>506</v>
      </c>
      <c r="U72">
        <v>586</v>
      </c>
      <c r="V72">
        <v>1057</v>
      </c>
      <c r="W72">
        <v>15270</v>
      </c>
    </row>
    <row r="73" spans="1:23" x14ac:dyDescent="0.2">
      <c r="A73" t="s">
        <v>9</v>
      </c>
      <c r="B73">
        <v>299</v>
      </c>
      <c r="C73">
        <v>9573</v>
      </c>
      <c r="D73">
        <v>15</v>
      </c>
      <c r="E73">
        <v>29361</v>
      </c>
      <c r="F73">
        <v>120.64</v>
      </c>
      <c r="G73">
        <v>101</v>
      </c>
      <c r="H73">
        <v>102</v>
      </c>
      <c r="I73">
        <v>103</v>
      </c>
      <c r="J73">
        <v>105</v>
      </c>
      <c r="K73">
        <v>106</v>
      </c>
      <c r="L73">
        <v>108</v>
      </c>
      <c r="M73">
        <v>109</v>
      </c>
      <c r="N73">
        <v>111</v>
      </c>
      <c r="O73">
        <v>114</v>
      </c>
      <c r="P73">
        <v>120</v>
      </c>
      <c r="Q73">
        <v>128</v>
      </c>
      <c r="R73">
        <v>190</v>
      </c>
      <c r="S73">
        <v>215</v>
      </c>
      <c r="T73">
        <v>285</v>
      </c>
      <c r="U73">
        <v>310</v>
      </c>
      <c r="V73">
        <v>355</v>
      </c>
      <c r="W73">
        <v>20055</v>
      </c>
    </row>
    <row r="75" spans="1:23" x14ac:dyDescent="0.2">
      <c r="A75" s="4" t="s">
        <v>34</v>
      </c>
      <c r="B75" t="s">
        <v>27</v>
      </c>
      <c r="C75" t="s">
        <v>2</v>
      </c>
      <c r="D75" t="s">
        <v>29</v>
      </c>
      <c r="E75" t="s">
        <v>28</v>
      </c>
      <c r="F75" t="s">
        <v>10</v>
      </c>
      <c r="G75" t="s">
        <v>11</v>
      </c>
      <c r="H75" t="s">
        <v>12</v>
      </c>
      <c r="I75" t="s">
        <v>13</v>
      </c>
      <c r="J75" t="s">
        <v>14</v>
      </c>
      <c r="K75" t="s">
        <v>15</v>
      </c>
      <c r="L75" t="s">
        <v>16</v>
      </c>
      <c r="M75" t="s">
        <v>17</v>
      </c>
      <c r="N75" t="s">
        <v>18</v>
      </c>
      <c r="O75" t="s">
        <v>19</v>
      </c>
      <c r="P75" t="s">
        <v>20</v>
      </c>
      <c r="Q75" t="s">
        <v>21</v>
      </c>
      <c r="R75" t="s">
        <v>22</v>
      </c>
      <c r="S75" t="s">
        <v>23</v>
      </c>
      <c r="T75" t="s">
        <v>24</v>
      </c>
      <c r="U75" t="s">
        <v>25</v>
      </c>
      <c r="V75" t="s">
        <v>26</v>
      </c>
      <c r="W75" t="s">
        <v>32</v>
      </c>
    </row>
    <row r="76" spans="1:23" x14ac:dyDescent="0.2">
      <c r="A76" t="s">
        <v>8</v>
      </c>
      <c r="B76">
        <v>331</v>
      </c>
      <c r="C76">
        <v>10600</v>
      </c>
      <c r="D76">
        <v>16</v>
      </c>
      <c r="E76">
        <v>25242</v>
      </c>
      <c r="F76">
        <v>151.68</v>
      </c>
      <c r="G76">
        <v>22</v>
      </c>
      <c r="H76">
        <v>26</v>
      </c>
      <c r="I76">
        <v>31</v>
      </c>
      <c r="J76">
        <v>39</v>
      </c>
      <c r="K76">
        <v>46</v>
      </c>
      <c r="L76">
        <v>51</v>
      </c>
      <c r="M76">
        <v>58</v>
      </c>
      <c r="N76">
        <v>67</v>
      </c>
      <c r="O76">
        <v>86</v>
      </c>
      <c r="P76">
        <v>388</v>
      </c>
      <c r="Q76">
        <v>429</v>
      </c>
      <c r="R76">
        <v>461</v>
      </c>
      <c r="S76">
        <v>578</v>
      </c>
      <c r="T76">
        <v>668</v>
      </c>
      <c r="U76">
        <v>766</v>
      </c>
      <c r="V76">
        <v>807</v>
      </c>
      <c r="W76">
        <v>19268</v>
      </c>
    </row>
    <row r="77" spans="1:23" x14ac:dyDescent="0.2">
      <c r="A77" t="s">
        <v>9</v>
      </c>
      <c r="B77">
        <v>457</v>
      </c>
      <c r="C77">
        <v>14600</v>
      </c>
      <c r="D77">
        <v>15</v>
      </c>
      <c r="E77">
        <v>26186</v>
      </c>
      <c r="F77">
        <v>122.04</v>
      </c>
      <c r="G77">
        <v>99</v>
      </c>
      <c r="H77">
        <v>102</v>
      </c>
      <c r="I77">
        <v>103</v>
      </c>
      <c r="J77">
        <v>106</v>
      </c>
      <c r="K77">
        <v>108</v>
      </c>
      <c r="L77">
        <v>109</v>
      </c>
      <c r="M77">
        <v>110</v>
      </c>
      <c r="N77">
        <v>112</v>
      </c>
      <c r="O77">
        <v>116</v>
      </c>
      <c r="P77">
        <v>123</v>
      </c>
      <c r="Q77">
        <v>151</v>
      </c>
      <c r="R77">
        <v>192</v>
      </c>
      <c r="S77">
        <v>231</v>
      </c>
      <c r="T77">
        <v>281</v>
      </c>
      <c r="U77">
        <v>306</v>
      </c>
      <c r="V77">
        <v>338</v>
      </c>
      <c r="W77">
        <v>10814</v>
      </c>
    </row>
    <row r="81" spans="1:23" x14ac:dyDescent="0.2">
      <c r="A81" s="110" t="s">
        <v>38</v>
      </c>
      <c r="B81" s="110"/>
      <c r="C81" s="110"/>
      <c r="D81" s="110"/>
      <c r="E81" s="110"/>
      <c r="F81" s="110"/>
      <c r="G81" s="110"/>
      <c r="H81" s="110"/>
      <c r="I81" s="110"/>
      <c r="J81" s="110"/>
    </row>
    <row r="82" spans="1:23" x14ac:dyDescent="0.2">
      <c r="A82" s="2" t="s">
        <v>30</v>
      </c>
      <c r="B82" t="s">
        <v>27</v>
      </c>
      <c r="C82" t="s">
        <v>2</v>
      </c>
      <c r="D82" t="s">
        <v>29</v>
      </c>
      <c r="E82" t="s">
        <v>28</v>
      </c>
      <c r="F82" t="s">
        <v>10</v>
      </c>
      <c r="G82" t="s">
        <v>11</v>
      </c>
      <c r="H82" t="s">
        <v>12</v>
      </c>
      <c r="I82" t="s">
        <v>13</v>
      </c>
      <c r="J82" t="s">
        <v>14</v>
      </c>
      <c r="K82" t="s">
        <v>15</v>
      </c>
      <c r="L82" t="s">
        <v>16</v>
      </c>
      <c r="M82" t="s">
        <v>17</v>
      </c>
      <c r="N82" t="s">
        <v>18</v>
      </c>
      <c r="O82" t="s">
        <v>19</v>
      </c>
      <c r="P82" t="s">
        <v>20</v>
      </c>
      <c r="Q82" t="s">
        <v>21</v>
      </c>
      <c r="R82" t="s">
        <v>22</v>
      </c>
      <c r="S82" t="s">
        <v>23</v>
      </c>
      <c r="T82" t="s">
        <v>24</v>
      </c>
      <c r="U82" t="s">
        <v>25</v>
      </c>
      <c r="V82" t="s">
        <v>26</v>
      </c>
      <c r="W82" t="s">
        <v>32</v>
      </c>
    </row>
    <row r="83" spans="1:23" x14ac:dyDescent="0.2">
      <c r="A83" t="s">
        <v>8</v>
      </c>
    </row>
    <row r="84" spans="1:23" x14ac:dyDescent="0.2">
      <c r="A84" t="s">
        <v>9</v>
      </c>
    </row>
    <row r="87" spans="1:23" x14ac:dyDescent="0.2">
      <c r="A87" s="3" t="s">
        <v>31</v>
      </c>
      <c r="B87" t="s">
        <v>27</v>
      </c>
      <c r="C87" t="s">
        <v>2</v>
      </c>
      <c r="D87" t="s">
        <v>29</v>
      </c>
      <c r="E87" t="s">
        <v>28</v>
      </c>
      <c r="F87" t="s">
        <v>10</v>
      </c>
      <c r="G87" t="s">
        <v>11</v>
      </c>
      <c r="H87" t="s">
        <v>12</v>
      </c>
      <c r="I87" t="s">
        <v>13</v>
      </c>
      <c r="J87" t="s">
        <v>14</v>
      </c>
      <c r="K87" t="s">
        <v>15</v>
      </c>
      <c r="L87" t="s">
        <v>16</v>
      </c>
      <c r="M87" t="s">
        <v>17</v>
      </c>
      <c r="N87" t="s">
        <v>18</v>
      </c>
      <c r="O87" t="s">
        <v>19</v>
      </c>
      <c r="P87" t="s">
        <v>20</v>
      </c>
      <c r="Q87" t="s">
        <v>21</v>
      </c>
      <c r="R87" t="s">
        <v>22</v>
      </c>
      <c r="S87" t="s">
        <v>23</v>
      </c>
      <c r="T87" t="s">
        <v>24</v>
      </c>
      <c r="U87" t="s">
        <v>25</v>
      </c>
      <c r="V87" t="s">
        <v>26</v>
      </c>
      <c r="W87" t="s">
        <v>32</v>
      </c>
    </row>
    <row r="88" spans="1:23" x14ac:dyDescent="0.2">
      <c r="A88" t="s">
        <v>8</v>
      </c>
    </row>
    <row r="89" spans="1:23" x14ac:dyDescent="0.2">
      <c r="A89" t="s">
        <v>9</v>
      </c>
      <c r="B89">
        <v>185</v>
      </c>
      <c r="C89">
        <v>5924</v>
      </c>
      <c r="D89">
        <v>15</v>
      </c>
      <c r="E89">
        <v>32408</v>
      </c>
      <c r="F89">
        <v>176.89</v>
      </c>
      <c r="G89">
        <v>103</v>
      </c>
      <c r="H89">
        <v>108</v>
      </c>
      <c r="I89">
        <v>110</v>
      </c>
      <c r="J89">
        <v>115</v>
      </c>
      <c r="K89">
        <v>119</v>
      </c>
      <c r="L89">
        <v>123</v>
      </c>
      <c r="M89">
        <v>128</v>
      </c>
      <c r="N89">
        <v>137</v>
      </c>
      <c r="O89">
        <v>206</v>
      </c>
      <c r="P89">
        <v>285</v>
      </c>
      <c r="Q89">
        <v>293</v>
      </c>
      <c r="R89">
        <v>302</v>
      </c>
      <c r="S89">
        <v>318</v>
      </c>
      <c r="T89">
        <v>334</v>
      </c>
      <c r="U89">
        <v>660</v>
      </c>
      <c r="V89">
        <v>709</v>
      </c>
      <c r="W89">
        <v>15270</v>
      </c>
    </row>
    <row r="91" spans="1:23" x14ac:dyDescent="0.2">
      <c r="A91" s="4" t="s">
        <v>34</v>
      </c>
      <c r="B91" t="s">
        <v>27</v>
      </c>
      <c r="C91" t="s">
        <v>2</v>
      </c>
      <c r="D91" t="s">
        <v>29</v>
      </c>
      <c r="E91" t="s">
        <v>28</v>
      </c>
      <c r="F91" t="s">
        <v>10</v>
      </c>
      <c r="G91" t="s">
        <v>11</v>
      </c>
      <c r="H91" t="s">
        <v>12</v>
      </c>
      <c r="I91" t="s">
        <v>13</v>
      </c>
      <c r="J91" t="s">
        <v>14</v>
      </c>
      <c r="K91" t="s">
        <v>15</v>
      </c>
      <c r="L91" t="s">
        <v>16</v>
      </c>
      <c r="M91" t="s">
        <v>17</v>
      </c>
      <c r="N91" t="s">
        <v>18</v>
      </c>
      <c r="O91" t="s">
        <v>19</v>
      </c>
      <c r="P91" t="s">
        <v>20</v>
      </c>
      <c r="Q91" t="s">
        <v>21</v>
      </c>
      <c r="R91" t="s">
        <v>22</v>
      </c>
      <c r="S91" t="s">
        <v>23</v>
      </c>
      <c r="T91" t="s">
        <v>24</v>
      </c>
      <c r="U91" t="s">
        <v>25</v>
      </c>
      <c r="V91" t="s">
        <v>26</v>
      </c>
      <c r="W91" t="s">
        <v>32</v>
      </c>
    </row>
    <row r="92" spans="1:23" x14ac:dyDescent="0.2">
      <c r="A92" t="s">
        <v>8</v>
      </c>
    </row>
    <row r="93" spans="1:23" x14ac:dyDescent="0.2">
      <c r="A93" t="s">
        <v>9</v>
      </c>
      <c r="B93">
        <v>292</v>
      </c>
      <c r="C93">
        <v>9936</v>
      </c>
      <c r="D93">
        <v>20</v>
      </c>
      <c r="E93">
        <v>32532</v>
      </c>
      <c r="F93">
        <v>188.01</v>
      </c>
      <c r="G93">
        <v>106</v>
      </c>
      <c r="H93">
        <v>111</v>
      </c>
      <c r="I93">
        <v>114</v>
      </c>
      <c r="J93">
        <v>117</v>
      </c>
      <c r="K93">
        <v>121</v>
      </c>
      <c r="L93">
        <v>127</v>
      </c>
      <c r="M93">
        <v>137</v>
      </c>
      <c r="N93">
        <v>172</v>
      </c>
      <c r="O93">
        <v>215</v>
      </c>
      <c r="P93">
        <v>289</v>
      </c>
      <c r="Q93">
        <v>302</v>
      </c>
      <c r="R93">
        <v>318</v>
      </c>
      <c r="S93">
        <v>367</v>
      </c>
      <c r="T93">
        <v>408</v>
      </c>
      <c r="U93">
        <v>693</v>
      </c>
      <c r="V93">
        <v>971</v>
      </c>
      <c r="W93">
        <v>18744</v>
      </c>
    </row>
    <row r="97" spans="1:10" x14ac:dyDescent="0.2">
      <c r="A97" s="109"/>
      <c r="B97" s="109"/>
      <c r="C97" s="109"/>
      <c r="D97" s="109"/>
      <c r="E97" s="109"/>
      <c r="F97" s="109"/>
      <c r="G97" s="109"/>
      <c r="H97" s="109"/>
      <c r="I97" s="109"/>
      <c r="J97" s="109"/>
    </row>
    <row r="98" spans="1:10" x14ac:dyDescent="0.2">
      <c r="A98" s="6"/>
      <c r="B98" s="6"/>
      <c r="C98" s="6"/>
      <c r="D98" s="6"/>
      <c r="E98" s="6"/>
      <c r="F98" s="6"/>
      <c r="G98" s="6"/>
      <c r="H98" s="6"/>
      <c r="I98" s="6"/>
      <c r="J98" s="6"/>
    </row>
    <row r="99" spans="1:10" x14ac:dyDescent="0.2">
      <c r="A99" s="6"/>
      <c r="B99" s="6"/>
      <c r="C99" s="6"/>
      <c r="D99" s="6"/>
      <c r="E99" s="6"/>
      <c r="F99" s="6"/>
      <c r="G99" s="6"/>
      <c r="H99" s="6"/>
      <c r="I99" s="6"/>
      <c r="J99" s="6"/>
    </row>
    <row r="100" spans="1:10" x14ac:dyDescent="0.2">
      <c r="A100" s="6"/>
      <c r="B100" s="6"/>
      <c r="C100" s="6"/>
      <c r="D100" s="6"/>
      <c r="E100" s="6"/>
      <c r="F100" s="6"/>
      <c r="G100" s="6"/>
      <c r="H100" s="6"/>
      <c r="I100" s="6"/>
      <c r="J100" s="6"/>
    </row>
    <row r="101" spans="1:10" x14ac:dyDescent="0.2">
      <c r="A101" s="6"/>
      <c r="B101" s="6"/>
      <c r="C101" s="6"/>
      <c r="D101" s="6"/>
      <c r="E101" s="6"/>
      <c r="F101" s="6"/>
      <c r="G101" s="6"/>
      <c r="H101" s="6"/>
      <c r="I101" s="6"/>
      <c r="J101" s="6"/>
    </row>
    <row r="102" spans="1:10" x14ac:dyDescent="0.2">
      <c r="A102" s="6"/>
      <c r="B102" s="6"/>
      <c r="C102" s="6"/>
      <c r="D102" s="6"/>
      <c r="E102" s="6"/>
      <c r="F102" s="6"/>
      <c r="G102" s="6"/>
      <c r="H102" s="6"/>
      <c r="I102" s="6"/>
      <c r="J102" s="6"/>
    </row>
    <row r="103" spans="1:10" x14ac:dyDescent="0.2">
      <c r="A103" s="6"/>
      <c r="B103" s="6"/>
      <c r="C103" s="6"/>
      <c r="D103" s="6"/>
      <c r="E103" s="6"/>
      <c r="F103" s="6"/>
      <c r="G103" s="6"/>
      <c r="H103" s="6"/>
      <c r="I103" s="6"/>
      <c r="J103" s="6"/>
    </row>
    <row r="104" spans="1:10" x14ac:dyDescent="0.2">
      <c r="A104" s="6"/>
      <c r="B104" s="6"/>
      <c r="C104" s="6"/>
      <c r="D104" s="6"/>
      <c r="E104" s="6"/>
      <c r="F104" s="6"/>
      <c r="G104" s="6"/>
      <c r="H104" s="6"/>
      <c r="I104" s="6"/>
      <c r="J104" s="6"/>
    </row>
    <row r="105" spans="1:10" x14ac:dyDescent="0.2">
      <c r="A105" s="6"/>
      <c r="B105" s="6"/>
      <c r="C105" s="6"/>
      <c r="D105" s="6"/>
      <c r="E105" s="6"/>
      <c r="F105" s="6"/>
      <c r="G105" s="6"/>
      <c r="H105" s="6"/>
      <c r="I105" s="6"/>
      <c r="J105" s="6"/>
    </row>
    <row r="106" spans="1:10" x14ac:dyDescent="0.2">
      <c r="A106" s="6"/>
      <c r="B106" s="6"/>
      <c r="C106" s="6"/>
      <c r="D106" s="6"/>
      <c r="E106" s="6"/>
      <c r="F106" s="6"/>
      <c r="G106" s="6"/>
      <c r="H106" s="6"/>
      <c r="I106" s="6"/>
      <c r="J106" s="6"/>
    </row>
    <row r="107" spans="1:10" x14ac:dyDescent="0.2">
      <c r="A107" s="6"/>
      <c r="B107" s="6"/>
      <c r="C107" s="6"/>
      <c r="D107" s="6"/>
      <c r="E107" s="6"/>
      <c r="F107" s="6"/>
      <c r="G107" s="6"/>
      <c r="H107" s="6"/>
      <c r="I107" s="6"/>
      <c r="J107" s="6"/>
    </row>
    <row r="108" spans="1:10" x14ac:dyDescent="0.2">
      <c r="A108" s="6"/>
      <c r="B108" s="6"/>
      <c r="C108" s="6"/>
      <c r="D108" s="6"/>
      <c r="E108" s="6"/>
      <c r="F108" s="6"/>
      <c r="G108" s="6"/>
      <c r="H108" s="6"/>
      <c r="I108" s="6"/>
      <c r="J108" s="6"/>
    </row>
    <row r="109" spans="1:10" x14ac:dyDescent="0.2">
      <c r="A109" s="6"/>
      <c r="B109" s="6"/>
      <c r="C109" s="6"/>
      <c r="D109" s="6"/>
      <c r="E109" s="6"/>
      <c r="F109" s="6"/>
      <c r="G109" s="6"/>
      <c r="H109" s="6"/>
      <c r="I109" s="6"/>
      <c r="J109" s="6"/>
    </row>
    <row r="110" spans="1:10" x14ac:dyDescent="0.2">
      <c r="A110" s="6"/>
      <c r="B110" s="6"/>
      <c r="C110" s="6"/>
      <c r="D110" s="6"/>
      <c r="E110" s="6"/>
      <c r="F110" s="6"/>
      <c r="G110" s="6"/>
      <c r="H110" s="6"/>
      <c r="I110" s="6"/>
      <c r="J110" s="6"/>
    </row>
    <row r="111" spans="1:10" x14ac:dyDescent="0.2">
      <c r="A111" s="6"/>
      <c r="B111" s="6"/>
      <c r="C111" s="6"/>
      <c r="D111" s="6"/>
      <c r="E111" s="6"/>
      <c r="F111" s="6"/>
      <c r="G111" s="6"/>
      <c r="H111" s="6"/>
      <c r="I111" s="6"/>
      <c r="J111" s="6"/>
    </row>
    <row r="112" spans="1:10" x14ac:dyDescent="0.2">
      <c r="A112" s="109"/>
      <c r="B112" s="109"/>
      <c r="C112" s="109"/>
      <c r="D112" s="109"/>
      <c r="E112" s="109"/>
      <c r="F112" s="109"/>
      <c r="G112" s="109"/>
      <c r="H112" s="109"/>
      <c r="I112" s="109"/>
      <c r="J112" s="109"/>
    </row>
    <row r="113" spans="1:10" x14ac:dyDescent="0.2">
      <c r="A113" s="6"/>
      <c r="B113" s="6"/>
      <c r="C113" s="6"/>
      <c r="D113" s="6"/>
      <c r="E113" s="6"/>
      <c r="F113" s="6"/>
      <c r="G113" s="6"/>
      <c r="H113" s="6"/>
      <c r="I113" s="6"/>
      <c r="J113" s="6"/>
    </row>
    <row r="114" spans="1:10" x14ac:dyDescent="0.2">
      <c r="A114" s="6"/>
      <c r="B114" s="6"/>
      <c r="C114" s="6"/>
      <c r="D114" s="6"/>
      <c r="E114" s="6"/>
      <c r="F114" s="6"/>
      <c r="G114" s="6"/>
      <c r="H114" s="6"/>
      <c r="I114" s="6"/>
      <c r="J114" s="6"/>
    </row>
    <row r="115" spans="1:10" x14ac:dyDescent="0.2">
      <c r="A115" s="6"/>
      <c r="B115" s="6"/>
      <c r="C115" s="6"/>
      <c r="D115" s="6"/>
      <c r="E115" s="6"/>
      <c r="F115" s="6"/>
      <c r="G115" s="6"/>
      <c r="H115" s="6"/>
      <c r="I115" s="6"/>
      <c r="J115" s="6"/>
    </row>
    <row r="116" spans="1:10" x14ac:dyDescent="0.2">
      <c r="A116" s="6"/>
      <c r="B116" s="6"/>
      <c r="C116" s="6"/>
      <c r="D116" s="6"/>
      <c r="E116" s="6"/>
      <c r="F116" s="6"/>
      <c r="G116" s="6"/>
      <c r="H116" s="6"/>
      <c r="I116" s="6"/>
      <c r="J116" s="6"/>
    </row>
    <row r="117" spans="1:10" x14ac:dyDescent="0.2">
      <c r="A117" s="6"/>
      <c r="B117" s="6"/>
      <c r="C117" s="6"/>
      <c r="D117" s="6"/>
      <c r="E117" s="6"/>
      <c r="F117" s="6"/>
      <c r="G117" s="6"/>
      <c r="H117" s="6"/>
      <c r="I117" s="6"/>
      <c r="J117" s="6"/>
    </row>
    <row r="118" spans="1:10" x14ac:dyDescent="0.2">
      <c r="A118" s="6"/>
      <c r="B118" s="6"/>
      <c r="C118" s="6"/>
      <c r="D118" s="6"/>
      <c r="E118" s="6"/>
      <c r="F118" s="6"/>
      <c r="G118" s="6"/>
      <c r="H118" s="6"/>
      <c r="I118" s="6"/>
      <c r="J118" s="6"/>
    </row>
    <row r="119" spans="1:10" x14ac:dyDescent="0.2">
      <c r="A119" s="6"/>
      <c r="B119" s="6"/>
      <c r="C119" s="6"/>
      <c r="D119" s="6"/>
      <c r="E119" s="6"/>
      <c r="F119" s="6"/>
      <c r="G119" s="6"/>
      <c r="H119" s="6"/>
      <c r="I119" s="6"/>
      <c r="J119" s="6"/>
    </row>
    <row r="120" spans="1:10" x14ac:dyDescent="0.2">
      <c r="A120" s="6"/>
      <c r="B120" s="6"/>
      <c r="C120" s="6"/>
      <c r="D120" s="6"/>
      <c r="E120" s="6"/>
      <c r="F120" s="6"/>
      <c r="G120" s="6"/>
      <c r="H120" s="6"/>
      <c r="I120" s="6"/>
      <c r="J120" s="6"/>
    </row>
    <row r="121" spans="1:10" x14ac:dyDescent="0.2">
      <c r="A121" s="6"/>
      <c r="B121" s="6"/>
      <c r="C121" s="6"/>
      <c r="D121" s="6"/>
      <c r="E121" s="6"/>
      <c r="F121" s="6"/>
      <c r="G121" s="6"/>
      <c r="H121" s="6"/>
      <c r="I121" s="6"/>
      <c r="J121" s="6"/>
    </row>
    <row r="122" spans="1:10" x14ac:dyDescent="0.2">
      <c r="A122" s="6"/>
      <c r="B122" s="6"/>
      <c r="C122" s="6"/>
      <c r="D122" s="6"/>
      <c r="E122" s="6"/>
      <c r="F122" s="6"/>
      <c r="G122" s="6"/>
      <c r="H122" s="6"/>
      <c r="I122" s="6"/>
      <c r="J122" s="6"/>
    </row>
    <row r="123" spans="1:10" x14ac:dyDescent="0.2">
      <c r="A123" s="6"/>
      <c r="B123" s="6"/>
      <c r="C123" s="6"/>
      <c r="D123" s="6"/>
      <c r="E123" s="6"/>
      <c r="F123" s="6"/>
      <c r="G123" s="6"/>
      <c r="H123" s="6"/>
      <c r="I123" s="6"/>
      <c r="J123" s="6"/>
    </row>
    <row r="124" spans="1:10" x14ac:dyDescent="0.2">
      <c r="A124" s="6"/>
      <c r="B124" s="6"/>
      <c r="C124" s="6"/>
      <c r="D124" s="6"/>
      <c r="E124" s="6"/>
      <c r="F124" s="6"/>
      <c r="G124" s="6"/>
      <c r="H124" s="6"/>
      <c r="I124" s="6"/>
      <c r="J124" s="6"/>
    </row>
    <row r="125" spans="1:10" x14ac:dyDescent="0.2">
      <c r="A125" s="6"/>
      <c r="B125" s="6"/>
      <c r="C125" s="6"/>
      <c r="D125" s="6"/>
      <c r="E125" s="6"/>
      <c r="F125" s="6"/>
      <c r="G125" s="6"/>
      <c r="H125" s="6"/>
      <c r="I125" s="6"/>
      <c r="J125" s="6"/>
    </row>
    <row r="126" spans="1:10" x14ac:dyDescent="0.2">
      <c r="A126" s="6"/>
      <c r="B126" s="6"/>
      <c r="C126" s="6"/>
      <c r="D126" s="6"/>
      <c r="E126" s="6"/>
      <c r="F126" s="6"/>
      <c r="G126" s="6"/>
      <c r="H126" s="6"/>
      <c r="I126" s="6"/>
      <c r="J126" s="6"/>
    </row>
    <row r="127" spans="1:10" x14ac:dyDescent="0.2">
      <c r="A127" s="109"/>
      <c r="B127" s="109"/>
      <c r="C127" s="109"/>
      <c r="D127" s="109"/>
      <c r="E127" s="109"/>
      <c r="F127" s="109"/>
      <c r="G127" s="109"/>
      <c r="H127" s="109"/>
      <c r="I127" s="109"/>
      <c r="J127" s="109"/>
    </row>
    <row r="128" spans="1:10" x14ac:dyDescent="0.2">
      <c r="A128" s="6"/>
      <c r="B128" s="6"/>
      <c r="C128" s="6"/>
      <c r="D128" s="6"/>
      <c r="E128" s="6"/>
      <c r="F128" s="6"/>
      <c r="G128" s="6"/>
      <c r="H128" s="6"/>
      <c r="I128" s="6"/>
      <c r="J128" s="6"/>
    </row>
    <row r="129" spans="1:10" x14ac:dyDescent="0.2">
      <c r="A129" s="6"/>
      <c r="B129" s="6"/>
      <c r="C129" s="6"/>
      <c r="D129" s="6"/>
      <c r="E129" s="6"/>
      <c r="F129" s="6"/>
      <c r="G129" s="6"/>
      <c r="H129" s="6"/>
      <c r="I129" s="6"/>
      <c r="J129" s="6"/>
    </row>
    <row r="130" spans="1:10" x14ac:dyDescent="0.2">
      <c r="A130" s="6"/>
      <c r="B130" s="6"/>
      <c r="C130" s="6"/>
      <c r="D130" s="6"/>
      <c r="E130" s="6"/>
      <c r="F130" s="6"/>
      <c r="G130" s="6"/>
      <c r="H130" s="6"/>
      <c r="I130" s="6"/>
      <c r="J130" s="6"/>
    </row>
    <row r="131" spans="1:10" x14ac:dyDescent="0.2">
      <c r="A131" s="6"/>
      <c r="B131" s="6"/>
      <c r="C131" s="6"/>
      <c r="D131" s="6"/>
      <c r="E131" s="6"/>
      <c r="F131" s="6"/>
      <c r="G131" s="6"/>
      <c r="H131" s="6"/>
      <c r="I131" s="6"/>
      <c r="J131" s="6"/>
    </row>
    <row r="132" spans="1:10" x14ac:dyDescent="0.2">
      <c r="A132" s="6"/>
      <c r="B132" s="6"/>
      <c r="C132" s="6"/>
      <c r="D132" s="6"/>
      <c r="E132" s="6"/>
      <c r="F132" s="6"/>
      <c r="G132" s="6"/>
      <c r="H132" s="6"/>
      <c r="I132" s="6"/>
      <c r="J132" s="6"/>
    </row>
    <row r="133" spans="1:10" x14ac:dyDescent="0.2">
      <c r="A133" s="6"/>
      <c r="B133" s="6"/>
      <c r="C133" s="6"/>
      <c r="D133" s="6"/>
      <c r="E133" s="6"/>
      <c r="F133" s="6"/>
      <c r="G133" s="6"/>
      <c r="H133" s="6"/>
      <c r="I133" s="6"/>
      <c r="J133" s="6"/>
    </row>
    <row r="134" spans="1:10" x14ac:dyDescent="0.2">
      <c r="A134" s="6"/>
      <c r="B134" s="6"/>
      <c r="C134" s="6"/>
      <c r="D134" s="6"/>
      <c r="E134" s="6"/>
      <c r="F134" s="6"/>
      <c r="G134" s="6"/>
      <c r="H134" s="6"/>
      <c r="I134" s="6"/>
      <c r="J134" s="6"/>
    </row>
    <row r="135" spans="1:10" x14ac:dyDescent="0.2">
      <c r="A135" s="6"/>
      <c r="B135" s="6"/>
      <c r="C135" s="6"/>
      <c r="D135" s="6"/>
      <c r="E135" s="6"/>
      <c r="F135" s="6"/>
      <c r="G135" s="6"/>
      <c r="H135" s="6"/>
      <c r="I135" s="6"/>
      <c r="J135" s="6"/>
    </row>
    <row r="136" spans="1:10" x14ac:dyDescent="0.2">
      <c r="A136" s="6"/>
      <c r="B136" s="6"/>
      <c r="C136" s="6"/>
      <c r="D136" s="6"/>
      <c r="E136" s="6"/>
      <c r="F136" s="6"/>
      <c r="G136" s="6"/>
      <c r="H136" s="6"/>
      <c r="I136" s="6"/>
      <c r="J136" s="6"/>
    </row>
    <row r="137" spans="1:10" x14ac:dyDescent="0.2">
      <c r="A137" s="6"/>
      <c r="B137" s="6"/>
      <c r="C137" s="6"/>
      <c r="D137" s="6"/>
      <c r="E137" s="6"/>
      <c r="F137" s="6"/>
      <c r="G137" s="6"/>
      <c r="H137" s="6"/>
      <c r="I137" s="6"/>
      <c r="J137" s="6"/>
    </row>
  </sheetData>
  <mergeCells count="9">
    <mergeCell ref="A112:J112"/>
    <mergeCell ref="A127:J127"/>
    <mergeCell ref="A97:J97"/>
    <mergeCell ref="A33:J33"/>
    <mergeCell ref="A1:J1"/>
    <mergeCell ref="A49:J49"/>
    <mergeCell ref="A17:J17"/>
    <mergeCell ref="A65:J65"/>
    <mergeCell ref="A81:J81"/>
  </mergeCells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83F284-E85D-4D17-9358-45F7FDE2DF5D}">
  <dimension ref="A1:BR728"/>
  <sheetViews>
    <sheetView topLeftCell="A157" zoomScale="70" zoomScaleNormal="70" workbookViewId="0">
      <selection activeCell="AH224" sqref="A1:XFD1048576"/>
    </sheetView>
  </sheetViews>
  <sheetFormatPr defaultRowHeight="14.25" x14ac:dyDescent="0.2"/>
  <cols>
    <col min="1" max="1" width="9" style="25"/>
    <col min="2" max="2" width="12.5" style="25" customWidth="1"/>
    <col min="3" max="3" width="15.375" style="25" customWidth="1"/>
    <col min="4" max="4" width="9" style="25"/>
    <col min="5" max="5" width="12.125" style="25" customWidth="1"/>
    <col min="6" max="6" width="11.25" style="25" customWidth="1"/>
    <col min="7" max="7" width="13.25" style="25" customWidth="1"/>
    <col min="8" max="8" width="13.875" style="25" customWidth="1"/>
    <col min="9" max="9" width="13.5" style="25" customWidth="1"/>
    <col min="10" max="10" width="15.375" style="25" customWidth="1"/>
    <col min="11" max="11" width="14.25" style="25" customWidth="1"/>
    <col min="12" max="12" width="13.625" style="25" customWidth="1"/>
    <col min="13" max="13" width="11.375" style="25" customWidth="1"/>
    <col min="14" max="14" width="11.875" style="25" customWidth="1"/>
    <col min="15" max="23" width="11" style="25" bestFit="1" customWidth="1"/>
    <col min="24" max="26" width="13.125" style="25" bestFit="1" customWidth="1"/>
    <col min="27" max="27" width="14.25" style="25" bestFit="1" customWidth="1"/>
    <col min="28" max="16384" width="9" style="25"/>
  </cols>
  <sheetData>
    <row r="1" spans="1:70" ht="23.25" x14ac:dyDescent="0.2">
      <c r="D1" s="113" t="s">
        <v>46</v>
      </c>
      <c r="E1" s="113"/>
      <c r="F1" s="113"/>
      <c r="G1" s="113"/>
      <c r="H1" s="113"/>
      <c r="I1" s="113"/>
      <c r="J1" s="113"/>
      <c r="K1" s="113"/>
      <c r="L1" s="113"/>
      <c r="M1" s="113"/>
      <c r="N1" s="113"/>
      <c r="O1" s="113"/>
      <c r="P1" s="113"/>
      <c r="Q1" s="113"/>
      <c r="R1" s="113"/>
      <c r="S1" s="113"/>
      <c r="T1" s="113"/>
      <c r="U1" s="113"/>
      <c r="V1" s="113"/>
      <c r="W1" s="113"/>
      <c r="X1" s="113"/>
      <c r="Y1" s="113"/>
      <c r="Z1" s="113"/>
      <c r="AA1" s="113"/>
      <c r="AB1" s="113"/>
    </row>
    <row r="2" spans="1:70" s="28" customFormat="1" x14ac:dyDescent="0.2">
      <c r="A2" s="19"/>
      <c r="B2" s="7"/>
      <c r="C2" s="7"/>
      <c r="D2" s="23" t="s">
        <v>47</v>
      </c>
      <c r="E2" s="23" t="s">
        <v>48</v>
      </c>
      <c r="F2" s="23" t="s">
        <v>49</v>
      </c>
      <c r="G2" s="23" t="s">
        <v>50</v>
      </c>
      <c r="H2" s="23" t="s">
        <v>51</v>
      </c>
      <c r="I2" s="23" t="s">
        <v>52</v>
      </c>
      <c r="J2" s="23" t="s">
        <v>53</v>
      </c>
      <c r="K2" s="29">
        <v>0.01</v>
      </c>
      <c r="L2" s="29">
        <v>0.05</v>
      </c>
      <c r="M2" s="29">
        <v>0.1</v>
      </c>
      <c r="N2" s="29">
        <v>0.2</v>
      </c>
      <c r="O2" s="30">
        <v>0.3</v>
      </c>
      <c r="P2" s="30">
        <v>0.4</v>
      </c>
      <c r="Q2" s="30">
        <v>0.5</v>
      </c>
      <c r="R2" s="30">
        <v>0.6</v>
      </c>
      <c r="S2" s="30">
        <v>0.7</v>
      </c>
      <c r="T2" s="30">
        <v>0.8</v>
      </c>
      <c r="U2" s="30">
        <v>0.9</v>
      </c>
      <c r="V2" s="30">
        <v>0.95</v>
      </c>
      <c r="W2" s="30">
        <v>0.99</v>
      </c>
      <c r="X2" s="29">
        <v>0.995</v>
      </c>
      <c r="Y2" s="29">
        <v>0.999</v>
      </c>
      <c r="Z2" s="29">
        <v>0.99950000000000006</v>
      </c>
      <c r="AA2" s="31">
        <v>0.99990000000000001</v>
      </c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</row>
    <row r="3" spans="1:70" s="28" customFormat="1" ht="14.25" customHeight="1" x14ac:dyDescent="0.2">
      <c r="A3" s="25" t="s">
        <v>61</v>
      </c>
      <c r="B3" s="111" t="s">
        <v>155</v>
      </c>
      <c r="C3" s="46" t="s">
        <v>54</v>
      </c>
      <c r="D3" s="84" t="s">
        <v>118</v>
      </c>
      <c r="E3" s="84" t="s">
        <v>119</v>
      </c>
      <c r="F3" s="84" t="s">
        <v>120</v>
      </c>
      <c r="G3" s="84" t="s">
        <v>68</v>
      </c>
      <c r="H3" s="84" t="s">
        <v>121</v>
      </c>
      <c r="I3" s="84" t="s">
        <v>122</v>
      </c>
      <c r="J3" s="84" t="s">
        <v>123</v>
      </c>
      <c r="K3" s="53" t="s">
        <v>124</v>
      </c>
      <c r="L3" s="53" t="s">
        <v>125</v>
      </c>
      <c r="M3" s="53" t="s">
        <v>126</v>
      </c>
      <c r="N3" s="53" t="s">
        <v>127</v>
      </c>
      <c r="O3" s="54" t="s">
        <v>128</v>
      </c>
      <c r="P3" s="54" t="s">
        <v>129</v>
      </c>
      <c r="Q3" s="54" t="s">
        <v>130</v>
      </c>
      <c r="R3" s="54" t="s">
        <v>131</v>
      </c>
      <c r="S3" s="54" t="s">
        <v>132</v>
      </c>
      <c r="T3" s="54" t="s">
        <v>133</v>
      </c>
      <c r="U3" s="54" t="s">
        <v>134</v>
      </c>
      <c r="V3" s="54" t="s">
        <v>135</v>
      </c>
      <c r="W3" s="54" t="s">
        <v>90</v>
      </c>
      <c r="X3" s="53" t="s">
        <v>136</v>
      </c>
      <c r="Y3" s="53" t="s">
        <v>137</v>
      </c>
      <c r="Z3" s="53" t="s">
        <v>137</v>
      </c>
      <c r="AA3" s="55" t="s">
        <v>138</v>
      </c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  <c r="BG3" s="7"/>
      <c r="BH3" s="7"/>
      <c r="BI3" s="7"/>
      <c r="BJ3" s="7"/>
      <c r="BK3" s="7"/>
      <c r="BL3" s="7"/>
      <c r="BM3" s="7"/>
      <c r="BN3" s="7"/>
      <c r="BO3" s="7"/>
      <c r="BP3" s="7"/>
      <c r="BQ3" s="7"/>
    </row>
    <row r="4" spans="1:70" s="28" customFormat="1" x14ac:dyDescent="0.2">
      <c r="A4" s="25"/>
      <c r="B4" s="111"/>
      <c r="C4" s="84" t="s">
        <v>57</v>
      </c>
      <c r="D4" s="84">
        <f>D3*5</f>
        <v>10165</v>
      </c>
      <c r="E4" s="84">
        <f>E3*5</f>
        <v>317.5</v>
      </c>
      <c r="F4" s="84"/>
      <c r="G4" s="84"/>
      <c r="H4" s="84"/>
      <c r="I4" s="84"/>
      <c r="J4" s="84"/>
      <c r="K4" s="84">
        <v>55</v>
      </c>
      <c r="L4" s="84">
        <v>59</v>
      </c>
      <c r="M4" s="84">
        <v>59</v>
      </c>
      <c r="N4" s="84">
        <v>59</v>
      </c>
      <c r="O4" s="84">
        <v>60</v>
      </c>
      <c r="P4" s="84">
        <v>60</v>
      </c>
      <c r="Q4" s="84">
        <v>64</v>
      </c>
      <c r="R4" s="84">
        <v>65</v>
      </c>
      <c r="S4" s="84">
        <v>67</v>
      </c>
      <c r="T4" s="84">
        <v>69</v>
      </c>
      <c r="U4" s="84">
        <v>80</v>
      </c>
      <c r="V4" s="84">
        <v>87</v>
      </c>
      <c r="W4" s="84">
        <v>110</v>
      </c>
      <c r="X4" s="84">
        <v>11707</v>
      </c>
      <c r="Y4" s="84">
        <v>14017</v>
      </c>
      <c r="Z4" s="84">
        <v>16064</v>
      </c>
      <c r="AA4" s="52">
        <v>23419</v>
      </c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  <c r="BJ4" s="7"/>
      <c r="BK4" s="7"/>
      <c r="BL4" s="7"/>
      <c r="BM4" s="7"/>
      <c r="BN4" s="7"/>
      <c r="BO4" s="7"/>
      <c r="BP4" s="7"/>
      <c r="BQ4" s="7"/>
    </row>
    <row r="5" spans="1:70" s="23" customFormat="1" x14ac:dyDescent="0.2">
      <c r="A5" s="24"/>
      <c r="B5" s="111"/>
      <c r="C5" s="84" t="s">
        <v>56</v>
      </c>
      <c r="D5" s="38">
        <f t="shared" ref="D5:AA5" si="0">D3*D26</f>
        <v>1243.1082802547771</v>
      </c>
      <c r="E5" s="38">
        <f t="shared" si="0"/>
        <v>38.859414758269729</v>
      </c>
      <c r="F5" s="38">
        <f t="shared" si="0"/>
        <v>40.81674757281553</v>
      </c>
      <c r="G5" s="38">
        <f t="shared" si="0"/>
        <v>85.05042016806722</v>
      </c>
      <c r="H5" s="38">
        <f t="shared" si="0"/>
        <v>105450.78916449087</v>
      </c>
      <c r="I5" s="38">
        <f t="shared" si="0"/>
        <v>797.72640999510963</v>
      </c>
      <c r="J5" s="38">
        <f t="shared" si="0"/>
        <v>6790.6608772867039</v>
      </c>
      <c r="K5" s="38">
        <f t="shared" si="0"/>
        <v>245.00719424460431</v>
      </c>
      <c r="L5" s="38">
        <f t="shared" si="0"/>
        <v>259.30069930069931</v>
      </c>
      <c r="M5" s="38">
        <f t="shared" si="0"/>
        <v>272.7832167832168</v>
      </c>
      <c r="N5" s="38">
        <f t="shared" si="0"/>
        <v>289.66206896551722</v>
      </c>
      <c r="O5" s="38">
        <f t="shared" si="0"/>
        <v>302.72108843537416</v>
      </c>
      <c r="P5" s="38">
        <f t="shared" si="0"/>
        <v>311.40397350993373</v>
      </c>
      <c r="Q5" s="38">
        <f t="shared" si="0"/>
        <v>310.67515923566879</v>
      </c>
      <c r="R5" s="38">
        <f t="shared" si="0"/>
        <v>317.96273291925468</v>
      </c>
      <c r="S5" s="38">
        <f t="shared" si="0"/>
        <v>321.56363636363636</v>
      </c>
      <c r="T5" s="38">
        <f t="shared" si="0"/>
        <v>324</v>
      </c>
      <c r="U5" s="38">
        <f t="shared" si="0"/>
        <v>347.84042553191489</v>
      </c>
      <c r="V5" s="38">
        <v>376</v>
      </c>
      <c r="W5" s="38">
        <v>501</v>
      </c>
      <c r="X5" s="38">
        <f t="shared" si="0"/>
        <v>98042</v>
      </c>
      <c r="Y5" s="38">
        <f t="shared" si="0"/>
        <v>99092</v>
      </c>
      <c r="Z5" s="38">
        <f t="shared" si="0"/>
        <v>99092</v>
      </c>
      <c r="AA5" s="89">
        <f t="shared" si="0"/>
        <v>100140</v>
      </c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  <c r="BK5" s="7"/>
      <c r="BL5" s="7"/>
      <c r="BM5" s="7"/>
      <c r="BN5" s="7"/>
      <c r="BO5" s="7"/>
      <c r="BP5" s="7"/>
      <c r="BQ5" s="7"/>
      <c r="BR5" s="34"/>
    </row>
    <row r="6" spans="1:70" s="28" customFormat="1" x14ac:dyDescent="0.2">
      <c r="A6" s="25"/>
      <c r="B6" s="111"/>
      <c r="C6" s="46" t="s">
        <v>55</v>
      </c>
      <c r="D6" s="93" t="s">
        <v>355</v>
      </c>
      <c r="E6" s="92" t="s">
        <v>356</v>
      </c>
      <c r="F6" s="46" t="s">
        <v>357</v>
      </c>
      <c r="G6" s="46" t="s">
        <v>307</v>
      </c>
      <c r="H6" s="46" t="s">
        <v>358</v>
      </c>
      <c r="I6" s="46" t="s">
        <v>359</v>
      </c>
      <c r="J6" s="46" t="s">
        <v>360</v>
      </c>
      <c r="K6" s="93" t="s">
        <v>213</v>
      </c>
      <c r="L6" s="93" t="s">
        <v>181</v>
      </c>
      <c r="M6" s="93" t="s">
        <v>107</v>
      </c>
      <c r="N6" s="93" t="s">
        <v>110</v>
      </c>
      <c r="O6" s="93" t="s">
        <v>77</v>
      </c>
      <c r="P6" s="93" t="s">
        <v>145</v>
      </c>
      <c r="Q6" s="93" t="s">
        <v>114</v>
      </c>
      <c r="R6" s="93" t="s">
        <v>146</v>
      </c>
      <c r="S6" s="93" t="s">
        <v>148</v>
      </c>
      <c r="T6" s="93" t="s">
        <v>245</v>
      </c>
      <c r="U6" s="93" t="s">
        <v>182</v>
      </c>
      <c r="V6" s="93" t="s">
        <v>130</v>
      </c>
      <c r="W6" s="93" t="s">
        <v>228</v>
      </c>
      <c r="X6" s="93" t="s">
        <v>80</v>
      </c>
      <c r="Y6" s="93" t="s">
        <v>361</v>
      </c>
      <c r="Z6" s="93" t="s">
        <v>362</v>
      </c>
      <c r="AA6" s="94" t="s">
        <v>154</v>
      </c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  <c r="BQ6" s="7"/>
    </row>
    <row r="7" spans="1:70" s="28" customFormat="1" x14ac:dyDescent="0.2">
      <c r="A7" s="25"/>
      <c r="B7" s="111"/>
      <c r="C7" s="84" t="s">
        <v>9</v>
      </c>
      <c r="D7" s="84" t="s">
        <v>355</v>
      </c>
      <c r="E7" s="84" t="s">
        <v>356</v>
      </c>
      <c r="F7" s="84" t="s">
        <v>357</v>
      </c>
      <c r="G7" s="84" t="s">
        <v>307</v>
      </c>
      <c r="H7" s="84" t="s">
        <v>358</v>
      </c>
      <c r="I7" s="84" t="s">
        <v>359</v>
      </c>
      <c r="J7" s="84" t="s">
        <v>360</v>
      </c>
      <c r="K7" s="84" t="s">
        <v>213</v>
      </c>
      <c r="L7" s="84" t="s">
        <v>181</v>
      </c>
      <c r="M7" s="84" t="s">
        <v>107</v>
      </c>
      <c r="N7" s="84" t="s">
        <v>110</v>
      </c>
      <c r="O7" s="84" t="s">
        <v>77</v>
      </c>
      <c r="P7" s="84" t="s">
        <v>145</v>
      </c>
      <c r="Q7" s="84" t="s">
        <v>114</v>
      </c>
      <c r="R7" s="84" t="s">
        <v>146</v>
      </c>
      <c r="S7" s="84" t="s">
        <v>148</v>
      </c>
      <c r="T7" s="84" t="s">
        <v>245</v>
      </c>
      <c r="U7" s="84" t="s">
        <v>182</v>
      </c>
      <c r="V7" s="84" t="s">
        <v>130</v>
      </c>
      <c r="W7" s="84" t="s">
        <v>228</v>
      </c>
      <c r="X7" s="84" t="s">
        <v>80</v>
      </c>
      <c r="Y7" s="84" t="s">
        <v>361</v>
      </c>
      <c r="Z7" s="84" t="s">
        <v>362</v>
      </c>
      <c r="AA7" s="52" t="s">
        <v>154</v>
      </c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7"/>
      <c r="BO7" s="7"/>
      <c r="BP7" s="7"/>
      <c r="BQ7" s="7"/>
    </row>
    <row r="8" spans="1:70" s="28" customFormat="1" x14ac:dyDescent="0.2">
      <c r="A8" s="25"/>
      <c r="B8" s="27"/>
      <c r="C8" s="27"/>
      <c r="D8" s="23" t="s">
        <v>47</v>
      </c>
      <c r="E8" s="23" t="s">
        <v>48</v>
      </c>
      <c r="F8" s="23" t="s">
        <v>49</v>
      </c>
      <c r="G8" s="23" t="s">
        <v>50</v>
      </c>
      <c r="H8" s="23" t="s">
        <v>51</v>
      </c>
      <c r="I8" s="23" t="s">
        <v>52</v>
      </c>
      <c r="J8" s="23" t="s">
        <v>53</v>
      </c>
      <c r="K8" s="29">
        <v>0.01</v>
      </c>
      <c r="L8" s="29">
        <v>0.05</v>
      </c>
      <c r="M8" s="29">
        <v>0.1</v>
      </c>
      <c r="N8" s="29">
        <v>0.2</v>
      </c>
      <c r="O8" s="30">
        <v>0.3</v>
      </c>
      <c r="P8" s="30">
        <v>0.4</v>
      </c>
      <c r="Q8" s="30">
        <v>0.5</v>
      </c>
      <c r="R8" s="30">
        <v>0.6</v>
      </c>
      <c r="S8" s="30">
        <v>0.7</v>
      </c>
      <c r="T8" s="30">
        <v>0.8</v>
      </c>
      <c r="U8" s="30">
        <v>0.9</v>
      </c>
      <c r="V8" s="30">
        <v>0.95</v>
      </c>
      <c r="W8" s="30">
        <v>0.99</v>
      </c>
      <c r="X8" s="29">
        <v>0.995</v>
      </c>
      <c r="Y8" s="29">
        <v>0.999</v>
      </c>
      <c r="Z8" s="29">
        <v>0.99950000000000006</v>
      </c>
      <c r="AA8" s="31">
        <v>0.99990000000000001</v>
      </c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 s="7"/>
      <c r="BN8" s="7"/>
      <c r="BO8" s="7"/>
      <c r="BP8" s="7"/>
      <c r="BQ8" s="7"/>
    </row>
    <row r="9" spans="1:70" s="28" customFormat="1" x14ac:dyDescent="0.2">
      <c r="A9" s="25"/>
      <c r="B9" s="111" t="s">
        <v>156</v>
      </c>
      <c r="C9" s="84" t="s">
        <v>54</v>
      </c>
      <c r="D9" s="84" t="s">
        <v>590</v>
      </c>
      <c r="E9" s="84" t="s">
        <v>591</v>
      </c>
      <c r="F9" s="84" t="s">
        <v>592</v>
      </c>
      <c r="G9" s="84" t="s">
        <v>95</v>
      </c>
      <c r="H9" s="84" t="s">
        <v>593</v>
      </c>
      <c r="I9" s="84" t="s">
        <v>594</v>
      </c>
      <c r="J9" s="84" t="s">
        <v>595</v>
      </c>
      <c r="K9" s="53" t="s">
        <v>81</v>
      </c>
      <c r="L9" s="53" t="s">
        <v>68</v>
      </c>
      <c r="M9" s="53" t="s">
        <v>68</v>
      </c>
      <c r="N9" s="53" t="s">
        <v>68</v>
      </c>
      <c r="O9" s="54" t="s">
        <v>68</v>
      </c>
      <c r="P9" s="54" t="s">
        <v>244</v>
      </c>
      <c r="Q9" s="54" t="s">
        <v>233</v>
      </c>
      <c r="R9" s="54" t="s">
        <v>111</v>
      </c>
      <c r="S9" s="54" t="s">
        <v>125</v>
      </c>
      <c r="T9" s="54" t="s">
        <v>152</v>
      </c>
      <c r="U9" s="54" t="s">
        <v>342</v>
      </c>
      <c r="V9" s="54" t="s">
        <v>263</v>
      </c>
      <c r="W9" s="54" t="s">
        <v>322</v>
      </c>
      <c r="X9" s="53" t="s">
        <v>596</v>
      </c>
      <c r="Y9" s="53" t="s">
        <v>597</v>
      </c>
      <c r="Z9" s="53" t="s">
        <v>597</v>
      </c>
      <c r="AA9" s="55" t="s">
        <v>597</v>
      </c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  <c r="BG9" s="7"/>
      <c r="BH9" s="7"/>
      <c r="BI9" s="7"/>
      <c r="BJ9" s="7"/>
      <c r="BK9" s="7"/>
      <c r="BL9" s="7"/>
      <c r="BM9" s="7"/>
      <c r="BN9" s="7"/>
      <c r="BO9" s="7"/>
      <c r="BP9" s="7"/>
      <c r="BQ9" s="7"/>
    </row>
    <row r="10" spans="1:70" s="28" customFormat="1" x14ac:dyDescent="0.2">
      <c r="A10" s="25"/>
      <c r="B10" s="111"/>
      <c r="C10" s="84" t="s">
        <v>57</v>
      </c>
      <c r="D10" s="38">
        <f>D9*E10/E9</f>
        <v>10938.725316455695</v>
      </c>
      <c r="E10" s="84">
        <v>341.7</v>
      </c>
      <c r="F10" s="84"/>
      <c r="G10" s="84"/>
      <c r="H10" s="84"/>
      <c r="I10" s="84"/>
      <c r="J10" s="84"/>
      <c r="K10" s="84"/>
      <c r="L10" s="84"/>
      <c r="M10" s="84"/>
      <c r="N10" s="84"/>
      <c r="O10" s="84"/>
      <c r="P10" s="84"/>
      <c r="Q10" s="84"/>
      <c r="R10" s="84"/>
      <c r="S10" s="84"/>
      <c r="T10" s="84"/>
      <c r="U10" s="84"/>
      <c r="V10" s="84"/>
      <c r="W10" s="84"/>
      <c r="X10" s="84"/>
      <c r="Y10" s="84"/>
      <c r="Z10" s="84"/>
      <c r="AA10" s="52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 s="7"/>
      <c r="BH10" s="7"/>
      <c r="BI10" s="7"/>
      <c r="BJ10" s="7"/>
      <c r="BK10" s="7"/>
      <c r="BL10" s="7"/>
      <c r="BM10" s="7"/>
      <c r="BN10" s="7"/>
      <c r="BO10" s="7"/>
      <c r="BP10" s="7"/>
      <c r="BQ10" s="7"/>
    </row>
    <row r="11" spans="1:70" s="28" customFormat="1" x14ac:dyDescent="0.2">
      <c r="A11" s="25"/>
      <c r="B11" s="111"/>
      <c r="C11" s="84" t="s">
        <v>56</v>
      </c>
      <c r="D11" s="38">
        <f>D9*D27</f>
        <v>2922.2286585365855</v>
      </c>
      <c r="E11" s="38">
        <f t="shared" ref="E11:AA11" si="1">E9*E27</f>
        <v>91.220462850182713</v>
      </c>
      <c r="F11" s="38">
        <f t="shared" si="1"/>
        <v>95.705691056910581</v>
      </c>
      <c r="G11" s="38">
        <f t="shared" si="1"/>
        <v>66.833333333333329</v>
      </c>
      <c r="H11" s="38">
        <f t="shared" si="1"/>
        <v>108342.33551735825</v>
      </c>
      <c r="I11" s="38">
        <f t="shared" si="1"/>
        <v>631.14539428709054</v>
      </c>
      <c r="J11" s="38">
        <f t="shared" si="1"/>
        <v>2149.6383101323449</v>
      </c>
      <c r="K11" s="38">
        <f t="shared" si="1"/>
        <v>94.259541984732834</v>
      </c>
      <c r="L11" s="38">
        <f t="shared" si="1"/>
        <v>104.22556390977444</v>
      </c>
      <c r="M11" s="38">
        <f t="shared" si="1"/>
        <v>106.11851851851853</v>
      </c>
      <c r="N11" s="38">
        <f t="shared" si="1"/>
        <v>134.35971223021582</v>
      </c>
      <c r="O11" s="38">
        <f t="shared" si="1"/>
        <v>2520.7375886524824</v>
      </c>
      <c r="P11" s="38">
        <f t="shared" si="1"/>
        <v>3160.8206896551724</v>
      </c>
      <c r="Q11" s="38">
        <f t="shared" si="1"/>
        <v>4466.0612244897957</v>
      </c>
      <c r="R11" s="38">
        <f t="shared" si="1"/>
        <v>5181.4901960784309</v>
      </c>
      <c r="S11" s="38">
        <f t="shared" si="1"/>
        <v>6924.4099378881983</v>
      </c>
      <c r="T11" s="38">
        <f t="shared" si="1"/>
        <v>6763.0172413793107</v>
      </c>
      <c r="U11" s="38">
        <f t="shared" si="1"/>
        <v>54.877225163630307</v>
      </c>
      <c r="V11" s="38">
        <f t="shared" si="1"/>
        <v>13.711816151842203</v>
      </c>
      <c r="W11" s="38">
        <f t="shared" si="1"/>
        <v>73.500504277785026</v>
      </c>
      <c r="X11" s="38">
        <f t="shared" si="1"/>
        <v>41041.298407040071</v>
      </c>
      <c r="Y11" s="38">
        <f t="shared" si="1"/>
        <v>61411.039414227016</v>
      </c>
      <c r="Z11" s="38">
        <f t="shared" si="1"/>
        <v>65819.981668992186</v>
      </c>
      <c r="AA11" s="89">
        <f t="shared" si="1"/>
        <v>90350.81796695909</v>
      </c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 s="7"/>
      <c r="BH11" s="7"/>
      <c r="BI11" s="7"/>
      <c r="BJ11" s="7"/>
      <c r="BK11" s="7"/>
      <c r="BL11" s="7"/>
      <c r="BM11" s="7"/>
      <c r="BN11" s="7"/>
      <c r="BO11" s="7"/>
      <c r="BP11" s="7"/>
      <c r="BQ11" s="7"/>
    </row>
    <row r="12" spans="1:70" s="28" customFormat="1" x14ac:dyDescent="0.2">
      <c r="A12" s="25"/>
      <c r="B12" s="111"/>
      <c r="C12" s="84" t="s">
        <v>55</v>
      </c>
      <c r="D12" s="38" t="s">
        <v>336</v>
      </c>
      <c r="E12" s="90" t="s">
        <v>337</v>
      </c>
      <c r="F12" s="84" t="s">
        <v>338</v>
      </c>
      <c r="G12" s="84" t="s">
        <v>307</v>
      </c>
      <c r="H12" s="84" t="s">
        <v>339</v>
      </c>
      <c r="I12" s="84" t="s">
        <v>340</v>
      </c>
      <c r="J12" s="84" t="s">
        <v>341</v>
      </c>
      <c r="K12" s="84" t="s">
        <v>213</v>
      </c>
      <c r="L12" s="84" t="s">
        <v>181</v>
      </c>
      <c r="M12" s="84" t="s">
        <v>107</v>
      </c>
      <c r="N12" s="84" t="s">
        <v>111</v>
      </c>
      <c r="O12" s="84" t="s">
        <v>145</v>
      </c>
      <c r="P12" s="84" t="s">
        <v>114</v>
      </c>
      <c r="Q12" s="84" t="s">
        <v>115</v>
      </c>
      <c r="R12" s="84" t="s">
        <v>150</v>
      </c>
      <c r="S12" s="84" t="s">
        <v>326</v>
      </c>
      <c r="T12" s="84" t="s">
        <v>342</v>
      </c>
      <c r="U12" s="84" t="s">
        <v>327</v>
      </c>
      <c r="V12" s="84" t="s">
        <v>343</v>
      </c>
      <c r="W12" s="84" t="s">
        <v>100</v>
      </c>
      <c r="X12" s="84" t="s">
        <v>79</v>
      </c>
      <c r="Y12" s="84" t="s">
        <v>344</v>
      </c>
      <c r="Z12" s="84" t="s">
        <v>345</v>
      </c>
      <c r="AA12" s="52" t="s">
        <v>346</v>
      </c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 s="7"/>
      <c r="BH12" s="7"/>
      <c r="BI12" s="7"/>
      <c r="BJ12" s="7"/>
      <c r="BK12" s="7"/>
      <c r="BL12" s="7"/>
      <c r="BM12" s="7"/>
      <c r="BN12" s="7"/>
      <c r="BO12" s="7"/>
      <c r="BP12" s="7"/>
      <c r="BQ12" s="7"/>
    </row>
    <row r="13" spans="1:70" s="28" customFormat="1" x14ac:dyDescent="0.2">
      <c r="A13" s="25"/>
      <c r="B13" s="111"/>
      <c r="C13" s="84" t="s">
        <v>9</v>
      </c>
      <c r="D13" s="84" t="s">
        <v>336</v>
      </c>
      <c r="E13" s="84" t="s">
        <v>337</v>
      </c>
      <c r="F13" s="84" t="s">
        <v>338</v>
      </c>
      <c r="G13" s="84" t="s">
        <v>307</v>
      </c>
      <c r="H13" s="84" t="s">
        <v>339</v>
      </c>
      <c r="I13" s="84" t="s">
        <v>340</v>
      </c>
      <c r="J13" s="84" t="s">
        <v>341</v>
      </c>
      <c r="K13" s="84" t="s">
        <v>213</v>
      </c>
      <c r="L13" s="84" t="s">
        <v>181</v>
      </c>
      <c r="M13" s="84" t="s">
        <v>107</v>
      </c>
      <c r="N13" s="84" t="s">
        <v>111</v>
      </c>
      <c r="O13" s="84" t="s">
        <v>145</v>
      </c>
      <c r="P13" s="84" t="s">
        <v>114</v>
      </c>
      <c r="Q13" s="84" t="s">
        <v>115</v>
      </c>
      <c r="R13" s="84" t="s">
        <v>150</v>
      </c>
      <c r="S13" s="84" t="s">
        <v>326</v>
      </c>
      <c r="T13" s="84" t="s">
        <v>342</v>
      </c>
      <c r="U13" s="84" t="s">
        <v>327</v>
      </c>
      <c r="V13" s="84" t="s">
        <v>343</v>
      </c>
      <c r="W13" s="84" t="s">
        <v>100</v>
      </c>
      <c r="X13" s="84" t="s">
        <v>79</v>
      </c>
      <c r="Y13" s="84" t="s">
        <v>344</v>
      </c>
      <c r="Z13" s="84" t="s">
        <v>345</v>
      </c>
      <c r="AA13" s="52" t="s">
        <v>346</v>
      </c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  <c r="BJ13" s="7"/>
      <c r="BK13" s="7"/>
      <c r="BL13" s="7"/>
      <c r="BM13" s="7"/>
      <c r="BN13" s="7"/>
      <c r="BO13" s="7"/>
      <c r="BP13" s="7"/>
      <c r="BQ13" s="7"/>
    </row>
    <row r="14" spans="1:70" s="28" customFormat="1" x14ac:dyDescent="0.2">
      <c r="A14" s="25"/>
      <c r="B14" s="27"/>
      <c r="C14" s="27"/>
      <c r="D14" s="23" t="s">
        <v>47</v>
      </c>
      <c r="E14" s="23" t="s">
        <v>48</v>
      </c>
      <c r="F14" s="23" t="s">
        <v>49</v>
      </c>
      <c r="G14" s="23" t="s">
        <v>50</v>
      </c>
      <c r="H14" s="23" t="s">
        <v>51</v>
      </c>
      <c r="I14" s="23" t="s">
        <v>52</v>
      </c>
      <c r="J14" s="23" t="s">
        <v>53</v>
      </c>
      <c r="K14" s="29">
        <v>0.01</v>
      </c>
      <c r="L14" s="29">
        <v>0.05</v>
      </c>
      <c r="M14" s="29">
        <v>0.1</v>
      </c>
      <c r="N14" s="29">
        <v>0.2</v>
      </c>
      <c r="O14" s="30">
        <v>0.3</v>
      </c>
      <c r="P14" s="30">
        <v>0.4</v>
      </c>
      <c r="Q14" s="30">
        <v>0.5</v>
      </c>
      <c r="R14" s="30">
        <v>0.6</v>
      </c>
      <c r="S14" s="30">
        <v>0.7</v>
      </c>
      <c r="T14" s="30">
        <v>0.8</v>
      </c>
      <c r="U14" s="30">
        <v>0.9</v>
      </c>
      <c r="V14" s="30">
        <v>0.95</v>
      </c>
      <c r="W14" s="30">
        <v>0.99</v>
      </c>
      <c r="X14" s="29">
        <v>0.995</v>
      </c>
      <c r="Y14" s="29">
        <v>0.999</v>
      </c>
      <c r="Z14" s="29">
        <v>0.99950000000000006</v>
      </c>
      <c r="AA14" s="31">
        <v>0.99990000000000001</v>
      </c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</row>
    <row r="15" spans="1:70" s="28" customFormat="1" x14ac:dyDescent="0.2">
      <c r="A15" s="25"/>
      <c r="B15" s="111" t="s">
        <v>157</v>
      </c>
      <c r="C15" s="84" t="s">
        <v>54</v>
      </c>
      <c r="D15" s="84">
        <v>2688</v>
      </c>
      <c r="E15" s="84">
        <v>84</v>
      </c>
      <c r="F15" s="84"/>
      <c r="G15" s="84"/>
      <c r="H15" s="84"/>
      <c r="I15" s="84"/>
      <c r="J15" s="84"/>
      <c r="K15" s="53"/>
      <c r="L15" s="53"/>
      <c r="M15" s="53"/>
      <c r="N15" s="53"/>
      <c r="O15" s="54"/>
      <c r="P15" s="54"/>
      <c r="Q15" s="54"/>
      <c r="R15" s="54"/>
      <c r="S15" s="54"/>
      <c r="T15" s="54"/>
      <c r="U15" s="54"/>
      <c r="V15" s="54"/>
      <c r="W15" s="54"/>
      <c r="X15" s="53"/>
      <c r="Y15" s="53"/>
      <c r="Z15" s="53"/>
      <c r="AA15" s="55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  <c r="BJ15" s="7"/>
      <c r="BK15" s="7"/>
      <c r="BL15" s="7"/>
      <c r="BM15" s="7"/>
      <c r="BN15" s="7"/>
      <c r="BO15" s="7"/>
      <c r="BP15" s="7"/>
      <c r="BQ15" s="7"/>
    </row>
    <row r="16" spans="1:70" s="28" customFormat="1" x14ac:dyDescent="0.2">
      <c r="A16" s="25"/>
      <c r="B16" s="111"/>
      <c r="C16" s="84" t="s">
        <v>57</v>
      </c>
      <c r="D16" s="38">
        <f>D15*E16/E15</f>
        <v>11260.8</v>
      </c>
      <c r="E16" s="84">
        <v>351.9</v>
      </c>
      <c r="F16" s="84"/>
      <c r="G16" s="84"/>
      <c r="H16" s="84"/>
      <c r="I16" s="84"/>
      <c r="J16" s="84"/>
      <c r="K16" s="84"/>
      <c r="L16" s="84"/>
      <c r="M16" s="84"/>
      <c r="N16" s="84"/>
      <c r="O16" s="84"/>
      <c r="P16" s="84"/>
      <c r="Q16" s="84"/>
      <c r="R16" s="84"/>
      <c r="S16" s="84"/>
      <c r="T16" s="84"/>
      <c r="U16" s="84"/>
      <c r="V16" s="84"/>
      <c r="W16" s="84"/>
      <c r="X16" s="84"/>
      <c r="Y16" s="84"/>
      <c r="Z16" s="84"/>
      <c r="AA16" s="52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 s="7"/>
      <c r="BH16" s="7"/>
      <c r="BI16" s="7"/>
      <c r="BJ16" s="7"/>
      <c r="BK16" s="7"/>
      <c r="BL16" s="7"/>
      <c r="BM16" s="7"/>
      <c r="BN16" s="7"/>
      <c r="BO16" s="7"/>
      <c r="BP16" s="7"/>
      <c r="BQ16" s="7"/>
    </row>
    <row r="17" spans="1:69" s="28" customFormat="1" x14ac:dyDescent="0.2">
      <c r="A17" s="25"/>
      <c r="B17" s="111"/>
      <c r="C17" s="84" t="s">
        <v>56</v>
      </c>
      <c r="D17" s="38">
        <f>D15*D28</f>
        <v>4318.8292682926831</v>
      </c>
      <c r="E17" s="38">
        <f t="shared" ref="E17:AA17" si="2">E15*E28</f>
        <v>135.05481120584653</v>
      </c>
      <c r="F17" s="84">
        <f>F15*F28</f>
        <v>0</v>
      </c>
      <c r="G17" s="84">
        <f t="shared" si="2"/>
        <v>0</v>
      </c>
      <c r="H17" s="84">
        <f t="shared" si="2"/>
        <v>0</v>
      </c>
      <c r="I17" s="84">
        <f t="shared" si="2"/>
        <v>0</v>
      </c>
      <c r="J17" s="84">
        <f t="shared" si="2"/>
        <v>0</v>
      </c>
      <c r="K17" s="84">
        <f t="shared" si="2"/>
        <v>0</v>
      </c>
      <c r="L17" s="84">
        <f t="shared" si="2"/>
        <v>0</v>
      </c>
      <c r="M17" s="84">
        <f t="shared" si="2"/>
        <v>0</v>
      </c>
      <c r="N17" s="84">
        <f t="shared" si="2"/>
        <v>0</v>
      </c>
      <c r="O17" s="84">
        <f t="shared" si="2"/>
        <v>0</v>
      </c>
      <c r="P17" s="84">
        <f t="shared" si="2"/>
        <v>0</v>
      </c>
      <c r="Q17" s="84">
        <f t="shared" si="2"/>
        <v>0</v>
      </c>
      <c r="R17" s="84">
        <f t="shared" si="2"/>
        <v>0</v>
      </c>
      <c r="S17" s="84">
        <f t="shared" si="2"/>
        <v>0</v>
      </c>
      <c r="T17" s="84">
        <f t="shared" si="2"/>
        <v>0</v>
      </c>
      <c r="U17" s="84">
        <f t="shared" si="2"/>
        <v>0</v>
      </c>
      <c r="V17" s="84">
        <f t="shared" si="2"/>
        <v>0</v>
      </c>
      <c r="W17" s="84">
        <f t="shared" si="2"/>
        <v>0</v>
      </c>
      <c r="X17" s="84">
        <f t="shared" si="2"/>
        <v>0</v>
      </c>
      <c r="Y17" s="84">
        <f t="shared" si="2"/>
        <v>0</v>
      </c>
      <c r="Z17" s="84">
        <f t="shared" si="2"/>
        <v>0</v>
      </c>
      <c r="AA17" s="52">
        <f t="shared" si="2"/>
        <v>0</v>
      </c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  <c r="BJ17" s="7"/>
      <c r="BK17" s="7"/>
      <c r="BL17" s="7"/>
      <c r="BM17" s="7"/>
      <c r="BN17" s="7"/>
      <c r="BO17" s="7"/>
      <c r="BP17" s="7"/>
      <c r="BQ17" s="7"/>
    </row>
    <row r="18" spans="1:69" s="28" customFormat="1" x14ac:dyDescent="0.2">
      <c r="A18" s="25"/>
      <c r="B18" s="111"/>
      <c r="C18" s="84" t="s">
        <v>55</v>
      </c>
      <c r="D18" s="91">
        <v>10.199999999999999</v>
      </c>
      <c r="E18" s="90" t="s">
        <v>328</v>
      </c>
      <c r="F18" s="84" t="s">
        <v>329</v>
      </c>
      <c r="G18" s="84" t="s">
        <v>256</v>
      </c>
      <c r="H18" s="84" t="s">
        <v>330</v>
      </c>
      <c r="I18" s="84" t="s">
        <v>331</v>
      </c>
      <c r="J18" s="84" t="s">
        <v>332</v>
      </c>
      <c r="K18" s="84" t="s">
        <v>213</v>
      </c>
      <c r="L18" s="84" t="s">
        <v>76</v>
      </c>
      <c r="M18" s="84" t="s">
        <v>107</v>
      </c>
      <c r="N18" s="84" t="s">
        <v>111</v>
      </c>
      <c r="O18" s="84" t="s">
        <v>145</v>
      </c>
      <c r="P18" s="84" t="s">
        <v>207</v>
      </c>
      <c r="Q18" s="84" t="s">
        <v>115</v>
      </c>
      <c r="R18" s="84" t="s">
        <v>168</v>
      </c>
      <c r="S18" s="84" t="s">
        <v>127</v>
      </c>
      <c r="T18" s="84" t="s">
        <v>131</v>
      </c>
      <c r="U18" s="84" t="s">
        <v>333</v>
      </c>
      <c r="V18" s="84" t="s">
        <v>228</v>
      </c>
      <c r="W18" s="84" t="s">
        <v>253</v>
      </c>
      <c r="X18" s="84" t="s">
        <v>80</v>
      </c>
      <c r="Y18" s="84" t="s">
        <v>334</v>
      </c>
      <c r="Z18" s="84" t="s">
        <v>335</v>
      </c>
      <c r="AA18" s="52" t="s">
        <v>173</v>
      </c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  <c r="BJ18" s="7"/>
      <c r="BK18" s="7"/>
      <c r="BL18" s="7"/>
      <c r="BM18" s="7"/>
      <c r="BN18" s="7"/>
      <c r="BO18" s="7"/>
      <c r="BP18" s="7"/>
      <c r="BQ18" s="7"/>
    </row>
    <row r="19" spans="1:69" s="28" customFormat="1" x14ac:dyDescent="0.2">
      <c r="A19" s="25"/>
      <c r="B19" s="111"/>
      <c r="C19" s="84" t="s">
        <v>9</v>
      </c>
      <c r="D19" s="84">
        <v>10.199999999999999</v>
      </c>
      <c r="E19" s="84" t="s">
        <v>328</v>
      </c>
      <c r="F19" s="84" t="s">
        <v>329</v>
      </c>
      <c r="G19" s="84" t="s">
        <v>256</v>
      </c>
      <c r="H19" s="84" t="s">
        <v>330</v>
      </c>
      <c r="I19" s="84" t="s">
        <v>331</v>
      </c>
      <c r="J19" s="84" t="s">
        <v>332</v>
      </c>
      <c r="K19" s="84" t="s">
        <v>213</v>
      </c>
      <c r="L19" s="84" t="s">
        <v>76</v>
      </c>
      <c r="M19" s="84" t="s">
        <v>107</v>
      </c>
      <c r="N19" s="84" t="s">
        <v>111</v>
      </c>
      <c r="O19" s="84" t="s">
        <v>145</v>
      </c>
      <c r="P19" s="84" t="s">
        <v>207</v>
      </c>
      <c r="Q19" s="84" t="s">
        <v>115</v>
      </c>
      <c r="R19" s="84" t="s">
        <v>168</v>
      </c>
      <c r="S19" s="84" t="s">
        <v>127</v>
      </c>
      <c r="T19" s="84" t="s">
        <v>131</v>
      </c>
      <c r="U19" s="84" t="s">
        <v>333</v>
      </c>
      <c r="V19" s="84" t="s">
        <v>228</v>
      </c>
      <c r="W19" s="84" t="s">
        <v>253</v>
      </c>
      <c r="X19" s="84" t="s">
        <v>80</v>
      </c>
      <c r="Y19" s="84" t="s">
        <v>334</v>
      </c>
      <c r="Z19" s="84" t="s">
        <v>335</v>
      </c>
      <c r="AA19" s="52" t="s">
        <v>173</v>
      </c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  <c r="BJ19" s="7"/>
      <c r="BK19" s="7"/>
      <c r="BL19" s="7"/>
      <c r="BM19" s="7"/>
      <c r="BN19" s="7"/>
      <c r="BO19" s="7"/>
      <c r="BP19" s="7"/>
      <c r="BQ19" s="7"/>
    </row>
    <row r="20" spans="1:69" s="28" customFormat="1" x14ac:dyDescent="0.2">
      <c r="A20" s="25"/>
      <c r="B20" s="27"/>
      <c r="C20" s="27"/>
      <c r="D20" s="23" t="s">
        <v>47</v>
      </c>
      <c r="E20" s="23" t="s">
        <v>48</v>
      </c>
      <c r="F20" s="23" t="s">
        <v>49</v>
      </c>
      <c r="G20" s="23" t="s">
        <v>50</v>
      </c>
      <c r="H20" s="23" t="s">
        <v>51</v>
      </c>
      <c r="I20" s="23" t="s">
        <v>52</v>
      </c>
      <c r="J20" s="23" t="s">
        <v>53</v>
      </c>
      <c r="K20" s="29">
        <v>0.01</v>
      </c>
      <c r="L20" s="29">
        <v>0.05</v>
      </c>
      <c r="M20" s="29">
        <v>0.1</v>
      </c>
      <c r="N20" s="29">
        <v>0.2</v>
      </c>
      <c r="O20" s="30">
        <v>0.3</v>
      </c>
      <c r="P20" s="30">
        <v>0.4</v>
      </c>
      <c r="Q20" s="30">
        <v>0.5</v>
      </c>
      <c r="R20" s="30">
        <v>0.6</v>
      </c>
      <c r="S20" s="30">
        <v>0.7</v>
      </c>
      <c r="T20" s="30">
        <v>0.8</v>
      </c>
      <c r="U20" s="30">
        <v>0.9</v>
      </c>
      <c r="V20" s="30">
        <v>0.95</v>
      </c>
      <c r="W20" s="30">
        <v>0.99</v>
      </c>
      <c r="X20" s="29">
        <v>0.995</v>
      </c>
      <c r="Y20" s="29">
        <v>0.999</v>
      </c>
      <c r="Z20" s="29">
        <v>0.99950000000000006</v>
      </c>
      <c r="AA20" s="31">
        <v>0.99990000000000001</v>
      </c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J20" s="7"/>
      <c r="BK20" s="7"/>
      <c r="BL20" s="7"/>
      <c r="BM20" s="7"/>
      <c r="BN20" s="7"/>
      <c r="BO20" s="7"/>
      <c r="BP20" s="7"/>
      <c r="BQ20" s="7"/>
    </row>
    <row r="21" spans="1:69" s="28" customFormat="1" x14ac:dyDescent="0.2">
      <c r="A21" s="25"/>
      <c r="B21" s="111" t="s">
        <v>158</v>
      </c>
      <c r="C21" s="84" t="s">
        <v>54</v>
      </c>
      <c r="D21" s="84">
        <v>2690</v>
      </c>
      <c r="E21" s="84">
        <v>84.1</v>
      </c>
      <c r="F21" s="84"/>
      <c r="G21" s="84"/>
      <c r="H21" s="84"/>
      <c r="I21" s="84"/>
      <c r="J21" s="84"/>
      <c r="K21" s="53"/>
      <c r="L21" s="53"/>
      <c r="M21" s="53"/>
      <c r="N21" s="53"/>
      <c r="O21" s="54"/>
      <c r="P21" s="54"/>
      <c r="Q21" s="54"/>
      <c r="R21" s="54"/>
      <c r="S21" s="54"/>
      <c r="T21" s="54"/>
      <c r="U21" s="54"/>
      <c r="V21" s="54"/>
      <c r="W21" s="54"/>
      <c r="X21" s="53"/>
      <c r="Y21" s="53"/>
      <c r="Z21" s="53"/>
      <c r="AA21" s="55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  <c r="BM21" s="7"/>
      <c r="BN21" s="7"/>
      <c r="BO21" s="7"/>
      <c r="BP21" s="7"/>
      <c r="BQ21" s="7"/>
    </row>
    <row r="22" spans="1:69" s="28" customFormat="1" x14ac:dyDescent="0.2">
      <c r="A22" s="25"/>
      <c r="B22" s="111"/>
      <c r="C22" s="84" t="s">
        <v>57</v>
      </c>
      <c r="D22" s="84">
        <f>11300</f>
        <v>11300</v>
      </c>
      <c r="E22" s="84">
        <v>352</v>
      </c>
      <c r="F22" s="84"/>
      <c r="G22" s="84"/>
      <c r="H22" s="84"/>
      <c r="I22" s="84"/>
      <c r="J22" s="84"/>
      <c r="K22" s="84"/>
      <c r="L22" s="84"/>
      <c r="M22" s="84"/>
      <c r="N22" s="84"/>
      <c r="O22" s="84"/>
      <c r="P22" s="84"/>
      <c r="Q22" s="84"/>
      <c r="R22" s="84"/>
      <c r="S22" s="84"/>
      <c r="T22" s="84"/>
      <c r="U22" s="84"/>
      <c r="V22" s="84"/>
      <c r="W22" s="84"/>
      <c r="X22" s="84"/>
      <c r="Y22" s="84"/>
      <c r="Z22" s="84"/>
      <c r="AA22" s="52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7"/>
      <c r="BJ22" s="7"/>
      <c r="BK22" s="7"/>
      <c r="BL22" s="7"/>
      <c r="BM22" s="7"/>
      <c r="BN22" s="7"/>
      <c r="BO22" s="7"/>
      <c r="BP22" s="7"/>
      <c r="BQ22" s="7"/>
    </row>
    <row r="23" spans="1:69" s="28" customFormat="1" x14ac:dyDescent="0.2">
      <c r="A23" s="25"/>
      <c r="B23" s="111"/>
      <c r="C23" s="84" t="s">
        <v>56</v>
      </c>
      <c r="D23" s="38">
        <f>D21*D29</f>
        <v>5634.2378048780492</v>
      </c>
      <c r="E23" s="38">
        <f t="shared" ref="E23:AA23" si="3">E21*E29</f>
        <v>176.19001218026796</v>
      </c>
      <c r="F23" s="38">
        <f t="shared" si="3"/>
        <v>0</v>
      </c>
      <c r="G23" s="38">
        <f t="shared" si="3"/>
        <v>0</v>
      </c>
      <c r="H23" s="38">
        <f t="shared" si="3"/>
        <v>0</v>
      </c>
      <c r="I23" s="38">
        <f t="shared" si="3"/>
        <v>0</v>
      </c>
      <c r="J23" s="38">
        <f t="shared" si="3"/>
        <v>0</v>
      </c>
      <c r="K23" s="38">
        <f t="shared" si="3"/>
        <v>0</v>
      </c>
      <c r="L23" s="38">
        <f t="shared" si="3"/>
        <v>0</v>
      </c>
      <c r="M23" s="38">
        <f t="shared" si="3"/>
        <v>0</v>
      </c>
      <c r="N23" s="38">
        <f t="shared" si="3"/>
        <v>0</v>
      </c>
      <c r="O23" s="38">
        <f t="shared" si="3"/>
        <v>0</v>
      </c>
      <c r="P23" s="38">
        <f t="shared" si="3"/>
        <v>0</v>
      </c>
      <c r="Q23" s="38">
        <f t="shared" si="3"/>
        <v>0</v>
      </c>
      <c r="R23" s="38">
        <f t="shared" si="3"/>
        <v>0</v>
      </c>
      <c r="S23" s="38">
        <f t="shared" si="3"/>
        <v>0</v>
      </c>
      <c r="T23" s="38">
        <f t="shared" si="3"/>
        <v>0</v>
      </c>
      <c r="U23" s="38">
        <f t="shared" si="3"/>
        <v>0</v>
      </c>
      <c r="V23" s="38">
        <f t="shared" si="3"/>
        <v>0</v>
      </c>
      <c r="W23" s="38">
        <f t="shared" si="3"/>
        <v>0</v>
      </c>
      <c r="X23" s="38">
        <f t="shared" si="3"/>
        <v>0</v>
      </c>
      <c r="Y23" s="38">
        <f t="shared" si="3"/>
        <v>0</v>
      </c>
      <c r="Z23" s="38">
        <f t="shared" si="3"/>
        <v>0</v>
      </c>
      <c r="AA23" s="89">
        <f t="shared" si="3"/>
        <v>0</v>
      </c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  <c r="BJ23" s="7"/>
      <c r="BK23" s="7"/>
      <c r="BL23" s="7"/>
      <c r="BM23" s="7"/>
      <c r="BN23" s="7"/>
      <c r="BO23" s="7"/>
      <c r="BP23" s="7"/>
      <c r="BQ23" s="7"/>
    </row>
    <row r="24" spans="1:69" s="28" customFormat="1" x14ac:dyDescent="0.2">
      <c r="A24" s="25"/>
      <c r="B24" s="111"/>
      <c r="C24" s="84" t="s">
        <v>55</v>
      </c>
      <c r="D24" s="91">
        <v>10.4</v>
      </c>
      <c r="E24" s="90" t="s">
        <v>347</v>
      </c>
      <c r="F24" s="84" t="s">
        <v>348</v>
      </c>
      <c r="G24" s="84" t="s">
        <v>256</v>
      </c>
      <c r="H24" s="84" t="s">
        <v>349</v>
      </c>
      <c r="I24" s="84" t="s">
        <v>350</v>
      </c>
      <c r="J24" s="84" t="s">
        <v>351</v>
      </c>
      <c r="K24" s="84" t="s">
        <v>213</v>
      </c>
      <c r="L24" s="84" t="s">
        <v>193</v>
      </c>
      <c r="M24" s="84" t="s">
        <v>107</v>
      </c>
      <c r="N24" s="84" t="s">
        <v>110</v>
      </c>
      <c r="O24" s="84" t="s">
        <v>113</v>
      </c>
      <c r="P24" s="84" t="s">
        <v>194</v>
      </c>
      <c r="Q24" s="84" t="s">
        <v>207</v>
      </c>
      <c r="R24" s="84" t="s">
        <v>115</v>
      </c>
      <c r="S24" s="84" t="s">
        <v>150</v>
      </c>
      <c r="T24" s="84" t="s">
        <v>258</v>
      </c>
      <c r="U24" s="84" t="s">
        <v>342</v>
      </c>
      <c r="V24" s="84" t="s">
        <v>263</v>
      </c>
      <c r="W24" s="84" t="s">
        <v>352</v>
      </c>
      <c r="X24" s="84" t="s">
        <v>80</v>
      </c>
      <c r="Y24" s="84" t="s">
        <v>353</v>
      </c>
      <c r="Z24" s="84" t="s">
        <v>154</v>
      </c>
      <c r="AA24" s="52" t="s">
        <v>354</v>
      </c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 s="7"/>
      <c r="BH24" s="7"/>
      <c r="BI24" s="7"/>
      <c r="BJ24" s="7"/>
      <c r="BK24" s="7"/>
      <c r="BL24" s="7"/>
      <c r="BM24" s="7"/>
      <c r="BN24" s="7"/>
      <c r="BO24" s="7"/>
      <c r="BP24" s="7"/>
      <c r="BQ24" s="7"/>
    </row>
    <row r="25" spans="1:69" s="28" customFormat="1" x14ac:dyDescent="0.2">
      <c r="A25" s="25"/>
      <c r="B25" s="111"/>
      <c r="C25" s="84" t="s">
        <v>9</v>
      </c>
      <c r="D25" s="84">
        <v>10.4</v>
      </c>
      <c r="E25" s="84" t="s">
        <v>347</v>
      </c>
      <c r="F25" s="84" t="s">
        <v>348</v>
      </c>
      <c r="G25" s="84" t="s">
        <v>256</v>
      </c>
      <c r="H25" s="84" t="s">
        <v>349</v>
      </c>
      <c r="I25" s="84" t="s">
        <v>350</v>
      </c>
      <c r="J25" s="84" t="s">
        <v>351</v>
      </c>
      <c r="K25" s="84" t="s">
        <v>213</v>
      </c>
      <c r="L25" s="84" t="s">
        <v>193</v>
      </c>
      <c r="M25" s="84" t="s">
        <v>107</v>
      </c>
      <c r="N25" s="84" t="s">
        <v>110</v>
      </c>
      <c r="O25" s="84" t="s">
        <v>113</v>
      </c>
      <c r="P25" s="84" t="s">
        <v>194</v>
      </c>
      <c r="Q25" s="84" t="s">
        <v>207</v>
      </c>
      <c r="R25" s="84" t="s">
        <v>115</v>
      </c>
      <c r="S25" s="84" t="s">
        <v>150</v>
      </c>
      <c r="T25" s="84" t="s">
        <v>258</v>
      </c>
      <c r="U25" s="84" t="s">
        <v>342</v>
      </c>
      <c r="V25" s="84" t="s">
        <v>263</v>
      </c>
      <c r="W25" s="84" t="s">
        <v>352</v>
      </c>
      <c r="X25" s="84" t="s">
        <v>80</v>
      </c>
      <c r="Y25" s="84" t="s">
        <v>353</v>
      </c>
      <c r="Z25" s="84" t="s">
        <v>154</v>
      </c>
      <c r="AA25" s="52" t="s">
        <v>354</v>
      </c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 s="7"/>
      <c r="BH25" s="7"/>
      <c r="BI25" s="7"/>
      <c r="BJ25" s="7"/>
      <c r="BK25" s="7"/>
      <c r="BL25" s="7"/>
      <c r="BM25" s="7"/>
      <c r="BN25" s="7"/>
      <c r="BO25" s="7"/>
      <c r="BP25" s="7"/>
      <c r="BQ25" s="7"/>
    </row>
    <row r="26" spans="1:69" s="19" customFormat="1" x14ac:dyDescent="0.2">
      <c r="A26" s="25"/>
      <c r="B26" s="7"/>
      <c r="C26" s="25"/>
      <c r="D26" s="25">
        <v>0.61146496815286622</v>
      </c>
      <c r="E26" s="25">
        <v>0.61195928753180673</v>
      </c>
      <c r="F26" s="25">
        <v>0.61286407766990292</v>
      </c>
      <c r="G26" s="25">
        <v>2.9327731092436973</v>
      </c>
      <c r="H26" s="25">
        <v>1.9996736292428199</v>
      </c>
      <c r="I26" s="25">
        <v>1.6349197835654903</v>
      </c>
      <c r="J26" s="25">
        <v>1.5769204225658118</v>
      </c>
      <c r="K26" s="25">
        <v>2.8489208633093526</v>
      </c>
      <c r="L26" s="25">
        <v>2.8811188811188813</v>
      </c>
      <c r="M26" s="25">
        <v>2.965034965034965</v>
      </c>
      <c r="N26" s="25">
        <v>2.9862068965517241</v>
      </c>
      <c r="O26" s="25">
        <v>3.0272108843537415</v>
      </c>
      <c r="P26" s="25">
        <v>3.052980132450331</v>
      </c>
      <c r="Q26" s="25">
        <v>2.9872611464968153</v>
      </c>
      <c r="R26" s="25">
        <v>2.9440993788819876</v>
      </c>
      <c r="S26" s="25">
        <v>2.896969696969697</v>
      </c>
      <c r="T26" s="25">
        <v>2.7931034482758621</v>
      </c>
      <c r="U26" s="25">
        <v>2.7606382978723403</v>
      </c>
      <c r="V26" s="25">
        <v>1.4866485791803512</v>
      </c>
      <c r="W26" s="25">
        <v>1.6363803267987189</v>
      </c>
      <c r="X26" s="25">
        <v>2</v>
      </c>
      <c r="Y26" s="25">
        <v>2</v>
      </c>
      <c r="Z26" s="25">
        <v>2</v>
      </c>
      <c r="AA26" s="25">
        <v>2</v>
      </c>
      <c r="AB26" s="7"/>
    </row>
    <row r="27" spans="1:69" s="19" customFormat="1" x14ac:dyDescent="0.2">
      <c r="A27" s="25"/>
      <c r="B27" s="7"/>
      <c r="C27" s="25"/>
      <c r="D27" s="25">
        <v>1.1554878048780488</v>
      </c>
      <c r="E27" s="25">
        <v>1.1546894031668697</v>
      </c>
      <c r="F27" s="25">
        <v>1.1544715447154472</v>
      </c>
      <c r="G27" s="25">
        <v>3.1825396825396823</v>
      </c>
      <c r="H27" s="25">
        <v>1.1580108329220946</v>
      </c>
      <c r="I27" s="25">
        <v>0.93601476262007532</v>
      </c>
      <c r="J27" s="25">
        <v>0.30306945548744518</v>
      </c>
      <c r="K27" s="25">
        <v>3.3664122137404582</v>
      </c>
      <c r="L27" s="25">
        <v>3.5939849624060152</v>
      </c>
      <c r="M27" s="25">
        <v>3.6592592592592594</v>
      </c>
      <c r="N27" s="25">
        <v>4.6330935251798557</v>
      </c>
      <c r="O27" s="25">
        <v>86.921985815602838</v>
      </c>
      <c r="P27" s="25">
        <v>85.427586206896549</v>
      </c>
      <c r="Q27" s="25">
        <v>84.265306122448976</v>
      </c>
      <c r="R27" s="25">
        <v>80.960784313725483</v>
      </c>
      <c r="S27" s="25">
        <v>76.937888198757761</v>
      </c>
      <c r="T27" s="25">
        <v>71.189655172413794</v>
      </c>
      <c r="U27" s="25">
        <v>0.53278859382165344</v>
      </c>
      <c r="V27" s="25">
        <v>0.12134350576851508</v>
      </c>
      <c r="W27" s="25">
        <v>0.50000343046112261</v>
      </c>
      <c r="X27" s="25">
        <v>0.48620793980689803</v>
      </c>
      <c r="Y27" s="25">
        <v>0.65436705538985396</v>
      </c>
      <c r="Z27" s="25">
        <v>0.70134666342375096</v>
      </c>
      <c r="AA27" s="25">
        <v>0.96273567861818143</v>
      </c>
      <c r="AB27" s="7"/>
    </row>
    <row r="28" spans="1:69" s="19" customFormat="1" x14ac:dyDescent="0.2">
      <c r="A28" s="25"/>
      <c r="B28" s="7"/>
      <c r="C28" s="25"/>
      <c r="D28" s="25">
        <v>1.6067073170731707</v>
      </c>
      <c r="E28" s="25">
        <v>1.607795371498173</v>
      </c>
      <c r="F28" s="25">
        <v>1.6027874564459932</v>
      </c>
      <c r="G28" s="25">
        <v>2.9920634920634921</v>
      </c>
      <c r="H28" s="25">
        <v>1.2019311378135573</v>
      </c>
      <c r="I28" s="25">
        <v>0.60759626624508445</v>
      </c>
      <c r="J28" s="25">
        <v>0.64248715838266734</v>
      </c>
      <c r="K28" s="25">
        <v>3.114503816793893</v>
      </c>
      <c r="L28" s="25">
        <v>3.255639097744361</v>
      </c>
      <c r="M28" s="25">
        <v>3.2962962962962963</v>
      </c>
      <c r="N28" s="25">
        <v>3.3741007194244603</v>
      </c>
      <c r="O28" s="25">
        <v>3.4468085106382977</v>
      </c>
      <c r="P28" s="25">
        <v>3.4344827586206899</v>
      </c>
      <c r="Q28" s="25">
        <v>3.4693877551020407</v>
      </c>
      <c r="R28" s="25">
        <v>3.4575163398692812</v>
      </c>
      <c r="S28" s="25">
        <v>3.639751552795031</v>
      </c>
      <c r="T28" s="25">
        <v>5.2068965517241379</v>
      </c>
      <c r="U28" s="25">
        <v>0.51094342768999879</v>
      </c>
      <c r="V28" s="25">
        <v>0.67805173055452173</v>
      </c>
      <c r="W28" s="25">
        <v>0.70144010757926079</v>
      </c>
      <c r="X28" s="25">
        <v>0.91724106179790066</v>
      </c>
      <c r="Y28" s="25">
        <v>1.026850062084768</v>
      </c>
      <c r="Z28" s="25">
        <v>1.0402718928813732</v>
      </c>
      <c r="AA28" s="25">
        <v>1.0124214404606062</v>
      </c>
      <c r="AB28" s="7"/>
    </row>
    <row r="29" spans="1:69" s="19" customFormat="1" x14ac:dyDescent="0.2">
      <c r="A29" s="25"/>
      <c r="B29" s="7"/>
      <c r="C29" s="25"/>
      <c r="D29" s="25">
        <v>2.0945121951219514</v>
      </c>
      <c r="E29" s="25">
        <v>2.0950060901339831</v>
      </c>
      <c r="F29" s="25">
        <v>2.0905923344947737</v>
      </c>
      <c r="G29" s="25">
        <v>2.7619047619047619</v>
      </c>
      <c r="H29" s="25">
        <v>1.0944580863423132</v>
      </c>
      <c r="I29" s="25">
        <v>0.52267588787145358</v>
      </c>
      <c r="J29" s="25">
        <v>0.52852086485931937</v>
      </c>
      <c r="K29" s="25">
        <v>3.1450381679389312</v>
      </c>
      <c r="L29" s="25">
        <v>3.225563909774436</v>
      </c>
      <c r="M29" s="25">
        <v>3.2962962962962963</v>
      </c>
      <c r="N29" s="25">
        <v>3.4388489208633093</v>
      </c>
      <c r="O29" s="25">
        <v>3.4751773049645389</v>
      </c>
      <c r="P29" s="25">
        <v>3.5172413793103448</v>
      </c>
      <c r="Q29" s="25">
        <v>3.5986394557823131</v>
      </c>
      <c r="R29" s="25">
        <v>5.2222222222222223</v>
      </c>
      <c r="S29" s="25">
        <v>5.4223602484472053</v>
      </c>
      <c r="T29" s="25">
        <v>5.3908045977011492</v>
      </c>
      <c r="U29" s="25">
        <v>0.51094342768999879</v>
      </c>
      <c r="V29" s="25">
        <v>0.67805173055452173</v>
      </c>
      <c r="W29" s="25">
        <v>0.50719367697405882</v>
      </c>
      <c r="X29" s="25">
        <v>0.64482649759280208</v>
      </c>
      <c r="Y29" s="25">
        <v>0.62751699330508581</v>
      </c>
      <c r="Z29" s="25">
        <v>0.64765293974577243</v>
      </c>
      <c r="AA29" s="25">
        <v>1.0869560066579396</v>
      </c>
      <c r="AB29" s="7"/>
    </row>
    <row r="30" spans="1:69" s="19" customFormat="1" x14ac:dyDescent="0.2">
      <c r="A30" s="25"/>
      <c r="B30" s="7"/>
      <c r="C30" s="25"/>
      <c r="D30" s="25"/>
      <c r="E30" s="25"/>
      <c r="F30" s="25"/>
      <c r="G30" s="25"/>
      <c r="H30" s="25"/>
      <c r="I30" s="25"/>
      <c r="J30" s="25"/>
      <c r="K30" s="83"/>
      <c r="L30" s="83"/>
      <c r="M30" s="83"/>
      <c r="N30" s="83"/>
      <c r="O30" s="83"/>
      <c r="P30" s="83"/>
      <c r="Q30" s="83"/>
      <c r="R30" s="83"/>
      <c r="S30" s="83"/>
      <c r="T30" s="83"/>
      <c r="U30" s="83"/>
      <c r="V30" s="83"/>
      <c r="W30" s="83"/>
      <c r="X30" s="83"/>
      <c r="Y30" s="83"/>
      <c r="Z30" s="83"/>
      <c r="AA30" s="83"/>
      <c r="AB30" s="7"/>
    </row>
    <row r="31" spans="1:69" x14ac:dyDescent="0.2">
      <c r="C31" s="14"/>
      <c r="D31" s="81" t="s">
        <v>105</v>
      </c>
      <c r="E31" s="81" t="s">
        <v>48</v>
      </c>
      <c r="F31" s="81" t="s">
        <v>49</v>
      </c>
      <c r="G31" s="81" t="s">
        <v>50</v>
      </c>
      <c r="H31" s="81" t="s">
        <v>51</v>
      </c>
      <c r="I31" s="81" t="s">
        <v>52</v>
      </c>
      <c r="J31" s="81" t="s">
        <v>53</v>
      </c>
      <c r="K31" s="29">
        <v>0.01</v>
      </c>
      <c r="L31" s="29">
        <v>0.05</v>
      </c>
      <c r="M31" s="29">
        <v>0.1</v>
      </c>
      <c r="N31" s="29">
        <v>0.2</v>
      </c>
      <c r="O31" s="30">
        <v>0.3</v>
      </c>
      <c r="P31" s="30">
        <v>0.4</v>
      </c>
      <c r="Q31" s="30">
        <v>0.5</v>
      </c>
      <c r="R31" s="30">
        <v>0.6</v>
      </c>
      <c r="S31" s="30">
        <v>0.7</v>
      </c>
      <c r="T31" s="30">
        <v>0.8</v>
      </c>
      <c r="U31" s="30">
        <v>0.9</v>
      </c>
      <c r="V31" s="30">
        <v>0.95</v>
      </c>
      <c r="W31" s="30">
        <v>0.99</v>
      </c>
      <c r="X31" s="29">
        <v>0.995</v>
      </c>
      <c r="Y31" s="29">
        <v>0.999</v>
      </c>
      <c r="Z31" s="29">
        <v>0.99950000000000006</v>
      </c>
      <c r="AA31" s="29">
        <v>0.99990000000000001</v>
      </c>
    </row>
    <row r="32" spans="1:69" x14ac:dyDescent="0.2">
      <c r="B32" s="136" t="s">
        <v>246</v>
      </c>
      <c r="C32" s="24" t="s">
        <v>54</v>
      </c>
      <c r="D32" s="82">
        <f>28.2</f>
        <v>28.2</v>
      </c>
      <c r="E32" s="82">
        <v>883</v>
      </c>
      <c r="F32" s="82">
        <f>926</f>
        <v>926</v>
      </c>
      <c r="G32" s="82" t="s">
        <v>82</v>
      </c>
      <c r="H32" s="82" t="s">
        <v>83</v>
      </c>
      <c r="I32" s="82" t="s">
        <v>84</v>
      </c>
      <c r="J32" s="82" t="s">
        <v>85</v>
      </c>
      <c r="K32" s="44" t="s">
        <v>68</v>
      </c>
      <c r="L32" s="44" t="s">
        <v>86</v>
      </c>
      <c r="M32" s="44" t="s">
        <v>86</v>
      </c>
      <c r="N32" s="44" t="s">
        <v>87</v>
      </c>
      <c r="O32" s="44" t="s">
        <v>87</v>
      </c>
      <c r="P32" s="44" t="s">
        <v>88</v>
      </c>
      <c r="Q32" s="44" t="s">
        <v>89</v>
      </c>
      <c r="R32" s="44" t="s">
        <v>242</v>
      </c>
      <c r="S32" s="44" t="s">
        <v>243</v>
      </c>
      <c r="T32" s="44" t="s">
        <v>252</v>
      </c>
      <c r="U32" s="44" t="s">
        <v>254</v>
      </c>
      <c r="V32" s="44" t="s">
        <v>75</v>
      </c>
      <c r="W32" s="44" t="s">
        <v>108</v>
      </c>
      <c r="X32" s="44" t="s">
        <v>111</v>
      </c>
      <c r="Y32" s="44" t="s">
        <v>168</v>
      </c>
      <c r="Z32" s="44" t="s">
        <v>227</v>
      </c>
      <c r="AA32" s="44" t="s">
        <v>425</v>
      </c>
    </row>
    <row r="33" spans="2:27" ht="14.25" customHeight="1" x14ac:dyDescent="0.2">
      <c r="B33" s="136"/>
      <c r="C33" s="24" t="s">
        <v>57</v>
      </c>
      <c r="D33" s="58">
        <f>28.2*1135.9/883</f>
        <v>36.276761041902603</v>
      </c>
      <c r="E33" s="82">
        <v>1135.9000000000001</v>
      </c>
      <c r="F33" s="82"/>
      <c r="G33" s="82"/>
      <c r="H33" s="82"/>
      <c r="I33" s="82"/>
      <c r="J33" s="82"/>
      <c r="K33" s="57">
        <f>K39*E39/E33</f>
        <v>21.611937670569592</v>
      </c>
      <c r="L33" s="57">
        <f>L39*E39/E33</f>
        <v>21.611937670569592</v>
      </c>
      <c r="M33" s="57">
        <f>M39*E39/E33</f>
        <v>22.641077559644334</v>
      </c>
      <c r="N33" s="57">
        <f>N39*E39/E33</f>
        <v>22.641077559644334</v>
      </c>
      <c r="O33" s="57">
        <f>O39*E39/E33</f>
        <v>23.670217448719075</v>
      </c>
      <c r="P33" s="57">
        <f>P39*E39/E33</f>
        <v>23.670217448719075</v>
      </c>
      <c r="Q33" s="57">
        <f>Q39*E39/E33</f>
        <v>24.699357337793817</v>
      </c>
      <c r="R33" s="57">
        <f>R39*E39/E33</f>
        <v>26.757637115943304</v>
      </c>
      <c r="S33" s="57">
        <f>S39*E39/E33</f>
        <v>29.845056783167529</v>
      </c>
      <c r="T33" s="57">
        <f>T39*E39/E33</f>
        <v>30.874196672242274</v>
      </c>
      <c r="U33" s="57">
        <f>U39*E39/E33</f>
        <v>31.903336561317015</v>
      </c>
      <c r="V33" s="57">
        <f>V39*E39/E33</f>
        <v>38.078175895765469</v>
      </c>
      <c r="W33" s="57">
        <f>W39*E39/E33</f>
        <v>47.340434897438151</v>
      </c>
      <c r="X33" s="57">
        <f>X39*E39/E33</f>
        <v>54.544414120961349</v>
      </c>
      <c r="Y33" s="57">
        <f>Y39*E39/E33</f>
        <v>64.835813011708765</v>
      </c>
      <c r="Z33" s="57">
        <f>Z39*E39/E33</f>
        <v>73.068932124306713</v>
      </c>
      <c r="AA33" s="57">
        <f>AA39*E39/E33</f>
        <v>167.749801919183</v>
      </c>
    </row>
    <row r="34" spans="2:27" x14ac:dyDescent="0.2">
      <c r="B34" s="136"/>
      <c r="C34" s="24" t="s">
        <v>56</v>
      </c>
      <c r="D34" s="24">
        <v>18</v>
      </c>
      <c r="E34" s="24">
        <v>562.9</v>
      </c>
      <c r="F34" s="24"/>
      <c r="G34" s="24"/>
      <c r="H34" s="24"/>
      <c r="I34" s="24"/>
      <c r="J34" s="24"/>
      <c r="K34" s="38">
        <f t="shared" ref="K34:W34" si="4">K32*1.56862745098</f>
        <v>45.490196078419999</v>
      </c>
      <c r="L34" s="38">
        <f t="shared" si="4"/>
        <v>47.058823529400001</v>
      </c>
      <c r="M34" s="38">
        <f t="shared" si="4"/>
        <v>47.058823529400001</v>
      </c>
      <c r="N34" s="38">
        <f t="shared" si="4"/>
        <v>48.627450980379997</v>
      </c>
      <c r="O34" s="38">
        <f t="shared" si="4"/>
        <v>48.627450980379997</v>
      </c>
      <c r="P34" s="38">
        <f t="shared" si="4"/>
        <v>50.19607843136</v>
      </c>
      <c r="Q34" s="38">
        <f t="shared" si="4"/>
        <v>51.764705882340003</v>
      </c>
      <c r="R34" s="38">
        <f t="shared" si="4"/>
        <v>53.333333333319999</v>
      </c>
      <c r="S34" s="38">
        <f t="shared" si="4"/>
        <v>54.901960784300002</v>
      </c>
      <c r="T34" s="38">
        <f t="shared" si="4"/>
        <v>56.470588235279997</v>
      </c>
      <c r="U34" s="38">
        <f t="shared" si="4"/>
        <v>59.607843137240003</v>
      </c>
      <c r="V34" s="38">
        <f t="shared" si="4"/>
        <v>73.725490196059994</v>
      </c>
      <c r="W34" s="38">
        <f t="shared" si="4"/>
        <v>95.686274509780006</v>
      </c>
      <c r="X34" s="38">
        <v>196</v>
      </c>
      <c r="Y34" s="38">
        <v>248</v>
      </c>
      <c r="Z34" s="38">
        <v>299</v>
      </c>
      <c r="AA34" s="38">
        <v>507</v>
      </c>
    </row>
    <row r="35" spans="2:27" x14ac:dyDescent="0.2">
      <c r="B35" s="136"/>
      <c r="C35" s="24" t="s">
        <v>55</v>
      </c>
      <c r="D35" s="58">
        <f>D36*0.81987</f>
        <v>28.449489000000003</v>
      </c>
      <c r="E35" s="57">
        <f>E36*0.81987</f>
        <v>889.55894999999998</v>
      </c>
      <c r="F35" s="24"/>
      <c r="G35" s="24"/>
      <c r="H35" s="24"/>
      <c r="I35" s="24"/>
      <c r="J35" s="24"/>
      <c r="K35" s="24" t="s">
        <v>68</v>
      </c>
      <c r="L35" s="24" t="s">
        <v>86</v>
      </c>
      <c r="M35" s="24" t="s">
        <v>86</v>
      </c>
      <c r="N35" s="24" t="s">
        <v>87</v>
      </c>
      <c r="O35" s="24" t="s">
        <v>87</v>
      </c>
      <c r="P35" s="24" t="s">
        <v>88</v>
      </c>
      <c r="Q35" s="24" t="s">
        <v>89</v>
      </c>
      <c r="R35" s="24" t="s">
        <v>242</v>
      </c>
      <c r="S35" s="24" t="s">
        <v>243</v>
      </c>
      <c r="T35" s="24" t="s">
        <v>252</v>
      </c>
      <c r="U35" s="24" t="s">
        <v>254</v>
      </c>
      <c r="V35" s="24" t="s">
        <v>75</v>
      </c>
      <c r="W35" s="24" t="s">
        <v>108</v>
      </c>
      <c r="X35" s="24" t="s">
        <v>111</v>
      </c>
      <c r="Y35" s="24" t="s">
        <v>168</v>
      </c>
      <c r="Z35" s="24" t="s">
        <v>227</v>
      </c>
      <c r="AA35" s="24" t="s">
        <v>425</v>
      </c>
    </row>
    <row r="36" spans="2:27" x14ac:dyDescent="0.2">
      <c r="B36" s="136"/>
      <c r="C36" s="24" t="s">
        <v>9</v>
      </c>
      <c r="D36" s="39">
        <v>34.700000000000003</v>
      </c>
      <c r="E36" s="39" t="s">
        <v>396</v>
      </c>
      <c r="F36" s="39" t="s">
        <v>397</v>
      </c>
      <c r="G36" s="39" t="s">
        <v>265</v>
      </c>
      <c r="H36" s="39" t="s">
        <v>398</v>
      </c>
      <c r="I36" s="39" t="s">
        <v>399</v>
      </c>
      <c r="J36" s="39" t="s">
        <v>400</v>
      </c>
      <c r="K36" s="39" t="s">
        <v>94</v>
      </c>
      <c r="L36" s="39" t="s">
        <v>94</v>
      </c>
      <c r="M36" s="39" t="s">
        <v>251</v>
      </c>
      <c r="N36" s="39" t="s">
        <v>96</v>
      </c>
      <c r="O36" s="39" t="s">
        <v>96</v>
      </c>
      <c r="P36" s="39" t="s">
        <v>97</v>
      </c>
      <c r="Q36" s="39" t="s">
        <v>97</v>
      </c>
      <c r="R36" s="39" t="s">
        <v>98</v>
      </c>
      <c r="S36" s="39" t="s">
        <v>68</v>
      </c>
      <c r="T36" s="39" t="s">
        <v>86</v>
      </c>
      <c r="U36" s="39" t="s">
        <v>89</v>
      </c>
      <c r="V36" s="39" t="s">
        <v>244</v>
      </c>
      <c r="W36" s="39" t="s">
        <v>128</v>
      </c>
      <c r="X36" s="39" t="s">
        <v>368</v>
      </c>
      <c r="Y36" s="39" t="s">
        <v>401</v>
      </c>
      <c r="Z36" s="39" t="s">
        <v>402</v>
      </c>
      <c r="AA36" s="39" t="s">
        <v>403</v>
      </c>
    </row>
    <row r="37" spans="2:27" x14ac:dyDescent="0.2">
      <c r="B37" s="9"/>
      <c r="C37" s="14"/>
      <c r="D37" s="40"/>
      <c r="E37" s="40"/>
      <c r="F37" s="40"/>
      <c r="G37" s="40"/>
      <c r="H37" s="40"/>
      <c r="I37" s="40"/>
      <c r="J37" s="40"/>
      <c r="K37" s="40"/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40"/>
    </row>
    <row r="38" spans="2:27" x14ac:dyDescent="0.2">
      <c r="B38" s="9"/>
      <c r="C38" s="14"/>
      <c r="D38" s="79" t="s">
        <v>105</v>
      </c>
      <c r="E38" s="79" t="s">
        <v>48</v>
      </c>
      <c r="F38" s="79" t="s">
        <v>49</v>
      </c>
      <c r="G38" s="79" t="s">
        <v>50</v>
      </c>
      <c r="H38" s="79" t="s">
        <v>51</v>
      </c>
      <c r="I38" s="79" t="s">
        <v>52</v>
      </c>
      <c r="J38" s="79" t="s">
        <v>53</v>
      </c>
      <c r="K38" s="66">
        <v>0.01</v>
      </c>
      <c r="L38" s="66">
        <v>0.05</v>
      </c>
      <c r="M38" s="66">
        <v>0.1</v>
      </c>
      <c r="N38" s="66">
        <v>0.2</v>
      </c>
      <c r="O38" s="73">
        <v>0.3</v>
      </c>
      <c r="P38" s="73">
        <v>0.4</v>
      </c>
      <c r="Q38" s="73">
        <v>0.5</v>
      </c>
      <c r="R38" s="73">
        <v>0.6</v>
      </c>
      <c r="S38" s="73">
        <v>0.7</v>
      </c>
      <c r="T38" s="73">
        <v>0.8</v>
      </c>
      <c r="U38" s="73">
        <v>0.9</v>
      </c>
      <c r="V38" s="73">
        <v>0.95</v>
      </c>
      <c r="W38" s="73">
        <v>0.99</v>
      </c>
      <c r="X38" s="66">
        <v>0.995</v>
      </c>
      <c r="Y38" s="66">
        <v>0.999</v>
      </c>
      <c r="Z38" s="66">
        <v>0.99950000000000006</v>
      </c>
      <c r="AA38" s="66">
        <v>0.99990000000000001</v>
      </c>
    </row>
    <row r="39" spans="2:27" x14ac:dyDescent="0.2">
      <c r="B39" s="116" t="s">
        <v>247</v>
      </c>
      <c r="C39" s="24" t="s">
        <v>54</v>
      </c>
      <c r="D39" s="37">
        <v>37.4</v>
      </c>
      <c r="E39" s="37" t="s">
        <v>598</v>
      </c>
      <c r="F39" s="37" t="s">
        <v>599</v>
      </c>
      <c r="G39" s="37" t="s">
        <v>452</v>
      </c>
      <c r="H39" s="37" t="s">
        <v>600</v>
      </c>
      <c r="I39" s="37" t="s">
        <v>601</v>
      </c>
      <c r="J39" s="37"/>
      <c r="K39" s="37" t="s">
        <v>95</v>
      </c>
      <c r="L39" s="37" t="s">
        <v>95</v>
      </c>
      <c r="M39" s="37" t="s">
        <v>251</v>
      </c>
      <c r="N39" s="37" t="s">
        <v>251</v>
      </c>
      <c r="O39" s="37" t="s">
        <v>96</v>
      </c>
      <c r="P39" s="37" t="s">
        <v>96</v>
      </c>
      <c r="Q39" s="37" t="s">
        <v>97</v>
      </c>
      <c r="R39" s="37" t="s">
        <v>82</v>
      </c>
      <c r="S39" s="37" t="s">
        <v>68</v>
      </c>
      <c r="T39" s="37" t="s">
        <v>86</v>
      </c>
      <c r="U39" s="37" t="s">
        <v>87</v>
      </c>
      <c r="V39" s="37" t="s">
        <v>244</v>
      </c>
      <c r="W39" s="37" t="s">
        <v>74</v>
      </c>
      <c r="X39" s="37" t="s">
        <v>233</v>
      </c>
      <c r="Y39" s="37" t="s">
        <v>110</v>
      </c>
      <c r="Z39" s="37" t="s">
        <v>207</v>
      </c>
      <c r="AA39" s="37" t="s">
        <v>425</v>
      </c>
    </row>
    <row r="40" spans="2:27" ht="14.25" customHeight="1" x14ac:dyDescent="0.2">
      <c r="B40" s="116"/>
      <c r="C40" s="24" t="s">
        <v>57</v>
      </c>
      <c r="D40" s="58">
        <f>D39*E40/E39</f>
        <v>50.293242087254058</v>
      </c>
      <c r="E40" s="24">
        <v>1572</v>
      </c>
      <c r="F40" s="24"/>
      <c r="G40" s="24"/>
      <c r="H40" s="24"/>
      <c r="I40" s="24"/>
      <c r="J40" s="24"/>
      <c r="K40" s="27"/>
      <c r="L40" s="27"/>
      <c r="M40" s="27"/>
      <c r="N40" s="27"/>
      <c r="O40" s="27"/>
      <c r="P40" s="27"/>
      <c r="Q40" s="27"/>
      <c r="R40" s="27"/>
      <c r="S40" s="24"/>
      <c r="T40" s="24"/>
      <c r="U40" s="24"/>
      <c r="V40" s="24"/>
      <c r="W40" s="24"/>
      <c r="X40" s="24"/>
      <c r="Y40" s="24"/>
      <c r="Z40" s="24"/>
      <c r="AA40" s="24"/>
    </row>
    <row r="41" spans="2:27" x14ac:dyDescent="0.2">
      <c r="B41" s="116"/>
      <c r="C41" s="24" t="s">
        <v>56</v>
      </c>
      <c r="D41" s="42">
        <f>37.4*829/1169</f>
        <v>26.522326775021384</v>
      </c>
      <c r="E41" s="43">
        <v>829</v>
      </c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</row>
    <row r="42" spans="2:27" x14ac:dyDescent="0.2">
      <c r="B42" s="116"/>
      <c r="C42" s="24" t="s">
        <v>55</v>
      </c>
      <c r="D42" s="58">
        <f>D43*0.81987</f>
        <v>37.877994000000001</v>
      </c>
      <c r="E42" s="57">
        <f>E43*0.81987</f>
        <v>1183.07241</v>
      </c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  <c r="AA42" s="24"/>
    </row>
    <row r="43" spans="2:27" x14ac:dyDescent="0.2">
      <c r="B43" s="116"/>
      <c r="C43" s="24" t="s">
        <v>9</v>
      </c>
      <c r="D43" s="44">
        <v>46.2</v>
      </c>
      <c r="E43" s="44" t="s">
        <v>404</v>
      </c>
      <c r="F43" s="44" t="s">
        <v>405</v>
      </c>
      <c r="G43" s="44" t="s">
        <v>93</v>
      </c>
      <c r="H43" s="44" t="s">
        <v>406</v>
      </c>
      <c r="I43" s="44" t="s">
        <v>407</v>
      </c>
      <c r="J43" s="44" t="s">
        <v>408</v>
      </c>
      <c r="K43" s="44" t="s">
        <v>251</v>
      </c>
      <c r="L43" s="44" t="s">
        <v>98</v>
      </c>
      <c r="M43" s="44" t="s">
        <v>241</v>
      </c>
      <c r="N43" s="44" t="s">
        <v>68</v>
      </c>
      <c r="O43" s="44" t="s">
        <v>88</v>
      </c>
      <c r="P43" s="44" t="s">
        <v>243</v>
      </c>
      <c r="Q43" s="44" t="s">
        <v>69</v>
      </c>
      <c r="R43" s="44" t="s">
        <v>70</v>
      </c>
      <c r="S43" s="44" t="s">
        <v>71</v>
      </c>
      <c r="T43" s="44" t="s">
        <v>72</v>
      </c>
      <c r="U43" s="44" t="s">
        <v>75</v>
      </c>
      <c r="V43" s="44" t="s">
        <v>213</v>
      </c>
      <c r="W43" s="44" t="s">
        <v>409</v>
      </c>
      <c r="X43" s="44" t="s">
        <v>133</v>
      </c>
      <c r="Y43" s="44" t="s">
        <v>410</v>
      </c>
      <c r="Z43" s="44" t="s">
        <v>197</v>
      </c>
      <c r="AA43" s="44" t="s">
        <v>411</v>
      </c>
    </row>
    <row r="44" spans="2:27" x14ac:dyDescent="0.2">
      <c r="B44" s="9"/>
      <c r="C44" s="14"/>
      <c r="D44" s="81" t="s">
        <v>105</v>
      </c>
      <c r="E44" s="81" t="s">
        <v>48</v>
      </c>
      <c r="F44" s="81" t="s">
        <v>49</v>
      </c>
      <c r="G44" s="81" t="s">
        <v>50</v>
      </c>
      <c r="H44" s="81" t="s">
        <v>51</v>
      </c>
      <c r="I44" s="81" t="s">
        <v>52</v>
      </c>
      <c r="J44" s="81" t="s">
        <v>53</v>
      </c>
      <c r="K44" s="29">
        <v>0.01</v>
      </c>
      <c r="L44" s="29">
        <v>0.05</v>
      </c>
      <c r="M44" s="29">
        <v>0.1</v>
      </c>
      <c r="N44" s="29">
        <v>0.2</v>
      </c>
      <c r="O44" s="30">
        <v>0.3</v>
      </c>
      <c r="P44" s="30">
        <v>0.4</v>
      </c>
      <c r="Q44" s="30">
        <v>0.5</v>
      </c>
      <c r="R44" s="30">
        <v>0.6</v>
      </c>
      <c r="S44" s="30">
        <v>0.7</v>
      </c>
      <c r="T44" s="30">
        <v>0.8</v>
      </c>
      <c r="U44" s="30">
        <v>0.9</v>
      </c>
      <c r="V44" s="30">
        <v>0.95</v>
      </c>
      <c r="W44" s="30">
        <v>0.99</v>
      </c>
      <c r="X44" s="29">
        <v>0.995</v>
      </c>
      <c r="Y44" s="29">
        <v>0.999</v>
      </c>
      <c r="Z44" s="29">
        <v>0.99950000000000006</v>
      </c>
      <c r="AA44" s="29">
        <v>0.99990000000000001</v>
      </c>
    </row>
    <row r="45" spans="2:27" x14ac:dyDescent="0.2">
      <c r="B45" s="116" t="s">
        <v>248</v>
      </c>
      <c r="C45" s="24" t="s">
        <v>54</v>
      </c>
      <c r="D45" s="24">
        <v>39.9</v>
      </c>
      <c r="E45" s="24" t="s">
        <v>602</v>
      </c>
      <c r="F45" s="24" t="s">
        <v>603</v>
      </c>
      <c r="G45" s="24" t="s">
        <v>265</v>
      </c>
      <c r="H45" s="24" t="s">
        <v>604</v>
      </c>
      <c r="I45" s="24" t="s">
        <v>605</v>
      </c>
      <c r="J45" s="24" t="s">
        <v>606</v>
      </c>
      <c r="K45" s="24" t="s">
        <v>251</v>
      </c>
      <c r="L45" s="24" t="s">
        <v>98</v>
      </c>
      <c r="M45" s="24" t="s">
        <v>241</v>
      </c>
      <c r="N45" s="24" t="s">
        <v>68</v>
      </c>
      <c r="O45" s="24" t="s">
        <v>87</v>
      </c>
      <c r="P45" s="24" t="s">
        <v>89</v>
      </c>
      <c r="Q45" s="24" t="s">
        <v>244</v>
      </c>
      <c r="R45" s="24" t="s">
        <v>456</v>
      </c>
      <c r="S45" s="24" t="s">
        <v>72</v>
      </c>
      <c r="T45" s="24" t="s">
        <v>73</v>
      </c>
      <c r="U45" s="24" t="s">
        <v>177</v>
      </c>
      <c r="V45" s="24" t="s">
        <v>76</v>
      </c>
      <c r="W45" s="24" t="s">
        <v>194</v>
      </c>
      <c r="X45" s="24" t="s">
        <v>147</v>
      </c>
      <c r="Y45" s="24" t="s">
        <v>124</v>
      </c>
      <c r="Z45" s="24" t="s">
        <v>237</v>
      </c>
      <c r="AA45" s="24" t="s">
        <v>498</v>
      </c>
    </row>
    <row r="46" spans="2:27" ht="14.25" customHeight="1" x14ac:dyDescent="0.2">
      <c r="B46" s="116"/>
      <c r="C46" s="24" t="s">
        <v>57</v>
      </c>
      <c r="D46" s="58">
        <f>D45*E46/E45</f>
        <v>64.153568564554931</v>
      </c>
      <c r="E46" s="24">
        <v>2005</v>
      </c>
      <c r="F46" s="24"/>
      <c r="G46" s="24"/>
      <c r="H46" s="24"/>
      <c r="I46" s="24"/>
      <c r="J46" s="24"/>
      <c r="K46" s="27"/>
      <c r="L46" s="27"/>
      <c r="M46" s="27"/>
      <c r="N46" s="27"/>
      <c r="O46" s="27"/>
      <c r="P46" s="27"/>
      <c r="Q46" s="27"/>
      <c r="R46" s="27"/>
      <c r="S46" s="24"/>
      <c r="T46" s="24"/>
      <c r="U46" s="24"/>
      <c r="V46" s="24"/>
      <c r="W46" s="24"/>
      <c r="X46" s="24"/>
      <c r="Y46" s="24"/>
      <c r="Z46" s="24"/>
      <c r="AA46" s="24"/>
    </row>
    <row r="47" spans="2:27" x14ac:dyDescent="0.2">
      <c r="B47" s="116"/>
      <c r="C47" s="24" t="s">
        <v>56</v>
      </c>
      <c r="D47" s="42">
        <f>39.9*994/1247</f>
        <v>31.804811547714515</v>
      </c>
      <c r="E47" s="42">
        <v>994</v>
      </c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  <c r="AA47" s="24"/>
    </row>
    <row r="48" spans="2:27" x14ac:dyDescent="0.2">
      <c r="B48" s="116"/>
      <c r="C48" s="24" t="s">
        <v>55</v>
      </c>
      <c r="D48" s="58">
        <f>D49*0.81987</f>
        <v>49.356174000000003</v>
      </c>
      <c r="E48" s="58">
        <f>E49*0.81987</f>
        <v>1542.1754699999999</v>
      </c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  <c r="AA48" s="24"/>
    </row>
    <row r="49" spans="1:27" x14ac:dyDescent="0.2">
      <c r="B49" s="116"/>
      <c r="C49" s="24" t="s">
        <v>9</v>
      </c>
      <c r="D49" s="44">
        <v>60.2</v>
      </c>
      <c r="E49" s="44" t="s">
        <v>412</v>
      </c>
      <c r="F49" s="44" t="s">
        <v>413</v>
      </c>
      <c r="G49" s="44" t="s">
        <v>93</v>
      </c>
      <c r="H49" s="44" t="s">
        <v>414</v>
      </c>
      <c r="I49" s="44" t="s">
        <v>415</v>
      </c>
      <c r="J49" s="44" t="s">
        <v>416</v>
      </c>
      <c r="K49" s="44" t="s">
        <v>96</v>
      </c>
      <c r="L49" s="44" t="s">
        <v>241</v>
      </c>
      <c r="M49" s="44" t="s">
        <v>68</v>
      </c>
      <c r="N49" s="44" t="s">
        <v>87</v>
      </c>
      <c r="O49" s="44" t="s">
        <v>242</v>
      </c>
      <c r="P49" s="44" t="s">
        <v>244</v>
      </c>
      <c r="Q49" s="44" t="s">
        <v>71</v>
      </c>
      <c r="R49" s="44" t="s">
        <v>72</v>
      </c>
      <c r="S49" s="44" t="s">
        <v>74</v>
      </c>
      <c r="T49" s="44" t="s">
        <v>307</v>
      </c>
      <c r="U49" s="44" t="s">
        <v>181</v>
      </c>
      <c r="V49" s="44" t="s">
        <v>148</v>
      </c>
      <c r="W49" s="44" t="s">
        <v>195</v>
      </c>
      <c r="X49" s="44" t="s">
        <v>208</v>
      </c>
      <c r="Y49" s="44" t="s">
        <v>402</v>
      </c>
      <c r="Z49" s="44" t="s">
        <v>417</v>
      </c>
      <c r="AA49" s="44" t="s">
        <v>418</v>
      </c>
    </row>
    <row r="50" spans="1:27" x14ac:dyDescent="0.2">
      <c r="B50" s="9"/>
      <c r="C50" s="14"/>
      <c r="D50" s="81" t="s">
        <v>105</v>
      </c>
      <c r="E50" s="81" t="s">
        <v>48</v>
      </c>
      <c r="F50" s="81" t="s">
        <v>49</v>
      </c>
      <c r="G50" s="81" t="s">
        <v>50</v>
      </c>
      <c r="H50" s="81" t="s">
        <v>51</v>
      </c>
      <c r="I50" s="81" t="s">
        <v>52</v>
      </c>
      <c r="J50" s="81" t="s">
        <v>53</v>
      </c>
      <c r="K50" s="29">
        <v>0.01</v>
      </c>
      <c r="L50" s="29">
        <v>0.05</v>
      </c>
      <c r="M50" s="29">
        <v>0.1</v>
      </c>
      <c r="N50" s="29">
        <v>0.2</v>
      </c>
      <c r="O50" s="30">
        <v>0.3</v>
      </c>
      <c r="P50" s="30">
        <v>0.4</v>
      </c>
      <c r="Q50" s="30">
        <v>0.5</v>
      </c>
      <c r="R50" s="30">
        <v>0.6</v>
      </c>
      <c r="S50" s="30">
        <v>0.7</v>
      </c>
      <c r="T50" s="30">
        <v>0.8</v>
      </c>
      <c r="U50" s="30">
        <v>0.9</v>
      </c>
      <c r="V50" s="30">
        <v>0.95</v>
      </c>
      <c r="W50" s="30">
        <v>0.99</v>
      </c>
      <c r="X50" s="29">
        <v>0.995</v>
      </c>
      <c r="Y50" s="29">
        <v>0.999</v>
      </c>
      <c r="Z50" s="29">
        <v>0.99950000000000006</v>
      </c>
      <c r="AA50" s="29">
        <v>0.99990000000000001</v>
      </c>
    </row>
    <row r="51" spans="1:27" x14ac:dyDescent="0.2">
      <c r="B51" s="116" t="s">
        <v>249</v>
      </c>
      <c r="C51" s="24" t="s">
        <v>54</v>
      </c>
      <c r="D51" s="24">
        <v>45.3</v>
      </c>
      <c r="E51" s="24" t="s">
        <v>607</v>
      </c>
      <c r="F51" s="24" t="s">
        <v>608</v>
      </c>
      <c r="G51" s="24" t="s">
        <v>93</v>
      </c>
      <c r="H51" s="24" t="s">
        <v>609</v>
      </c>
      <c r="I51" s="24" t="s">
        <v>610</v>
      </c>
      <c r="J51" s="24"/>
      <c r="K51" s="24" t="s">
        <v>251</v>
      </c>
      <c r="L51" s="24" t="s">
        <v>98</v>
      </c>
      <c r="M51" s="24" t="s">
        <v>241</v>
      </c>
      <c r="N51" s="24" t="s">
        <v>81</v>
      </c>
      <c r="O51" s="24" t="s">
        <v>68</v>
      </c>
      <c r="P51" s="24" t="s">
        <v>87</v>
      </c>
      <c r="Q51" s="24" t="s">
        <v>89</v>
      </c>
      <c r="R51" s="24" t="s">
        <v>242</v>
      </c>
      <c r="S51" s="24" t="s">
        <v>243</v>
      </c>
      <c r="T51" s="24" t="s">
        <v>244</v>
      </c>
      <c r="U51" s="24" t="s">
        <v>456</v>
      </c>
      <c r="V51" s="24" t="s">
        <v>73</v>
      </c>
      <c r="W51" s="24" t="s">
        <v>193</v>
      </c>
      <c r="X51" s="24" t="s">
        <v>110</v>
      </c>
      <c r="Y51" s="24" t="s">
        <v>148</v>
      </c>
      <c r="Z51" s="24" t="s">
        <v>217</v>
      </c>
      <c r="AA51" s="24" t="s">
        <v>409</v>
      </c>
    </row>
    <row r="52" spans="1:27" ht="14.25" customHeight="1" x14ac:dyDescent="0.2">
      <c r="B52" s="116"/>
      <c r="C52" s="24" t="s">
        <v>57</v>
      </c>
      <c r="D52" s="24">
        <v>64.2</v>
      </c>
      <c r="E52" s="24">
        <v>2005</v>
      </c>
      <c r="F52" s="24"/>
      <c r="G52" s="24"/>
      <c r="H52" s="24"/>
      <c r="I52" s="24"/>
      <c r="J52" s="24"/>
      <c r="K52" s="27"/>
      <c r="L52" s="27"/>
      <c r="M52" s="27"/>
      <c r="N52" s="27"/>
      <c r="O52" s="27"/>
      <c r="P52" s="27"/>
      <c r="Q52" s="27"/>
      <c r="R52" s="27"/>
      <c r="S52" s="24"/>
      <c r="T52" s="24"/>
      <c r="U52" s="24"/>
      <c r="V52" s="24"/>
      <c r="W52" s="24"/>
      <c r="X52" s="24"/>
      <c r="Y52" s="24"/>
      <c r="Z52" s="24"/>
      <c r="AA52" s="24"/>
    </row>
    <row r="53" spans="1:27" x14ac:dyDescent="0.2">
      <c r="B53" s="116"/>
      <c r="C53" s="24" t="s">
        <v>56</v>
      </c>
      <c r="D53" s="42">
        <f>45.3*1134/1416</f>
        <v>36.278389830508473</v>
      </c>
      <c r="E53" s="25">
        <v>1134</v>
      </c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  <c r="AA53" s="24"/>
    </row>
    <row r="54" spans="1:27" x14ac:dyDescent="0.2">
      <c r="B54" s="116"/>
      <c r="C54" s="24" t="s">
        <v>55</v>
      </c>
      <c r="D54" s="58">
        <f>D55*0.81987</f>
        <v>52.061745000000002</v>
      </c>
      <c r="E54" s="95">
        <f>E55*0.81987</f>
        <v>1626.6220799999999</v>
      </c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</row>
    <row r="55" spans="1:27" x14ac:dyDescent="0.2">
      <c r="B55" s="116"/>
      <c r="C55" s="24" t="s">
        <v>9</v>
      </c>
      <c r="D55" s="44">
        <v>63.5</v>
      </c>
      <c r="E55" s="44">
        <v>1984</v>
      </c>
      <c r="F55" s="44"/>
      <c r="G55" s="44"/>
      <c r="H55" s="44"/>
      <c r="I55" s="44"/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  <c r="AA55" s="44"/>
    </row>
    <row r="56" spans="1:27" x14ac:dyDescent="0.2">
      <c r="B56" s="9"/>
      <c r="C56" s="14"/>
      <c r="D56" s="45"/>
      <c r="E56" s="45"/>
      <c r="F56" s="45"/>
      <c r="G56" s="45"/>
      <c r="H56" s="45"/>
      <c r="I56" s="45"/>
      <c r="J56" s="4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5"/>
    </row>
    <row r="57" spans="1:27" x14ac:dyDescent="0.2">
      <c r="B57" s="9"/>
      <c r="C57" s="14"/>
      <c r="D57" s="45"/>
      <c r="E57" s="45"/>
      <c r="F57" s="45"/>
      <c r="G57" s="45"/>
      <c r="H57" s="45"/>
      <c r="I57" s="45"/>
      <c r="J57" s="4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5"/>
    </row>
    <row r="58" spans="1:27" s="19" customFormat="1" x14ac:dyDescent="0.2">
      <c r="B58" s="8"/>
      <c r="D58" s="84" t="s">
        <v>105</v>
      </c>
      <c r="E58" s="84" t="s">
        <v>48</v>
      </c>
      <c r="F58" s="84" t="s">
        <v>49</v>
      </c>
      <c r="G58" s="84" t="s">
        <v>50</v>
      </c>
      <c r="H58" s="84" t="s">
        <v>51</v>
      </c>
      <c r="I58" s="84" t="s">
        <v>52</v>
      </c>
      <c r="J58" s="84" t="s">
        <v>53</v>
      </c>
      <c r="K58" s="53">
        <v>0.01</v>
      </c>
      <c r="L58" s="53">
        <v>0.05</v>
      </c>
      <c r="M58" s="53">
        <v>0.1</v>
      </c>
      <c r="N58" s="53">
        <v>0.2</v>
      </c>
      <c r="O58" s="54">
        <v>0.3</v>
      </c>
      <c r="P58" s="54">
        <v>0.4</v>
      </c>
      <c r="Q58" s="54">
        <v>0.5</v>
      </c>
      <c r="R58" s="54">
        <v>0.6</v>
      </c>
      <c r="S58" s="54">
        <v>0.7</v>
      </c>
      <c r="T58" s="54">
        <v>0.8</v>
      </c>
      <c r="U58" s="54">
        <v>0.9</v>
      </c>
      <c r="V58" s="54">
        <v>0.95</v>
      </c>
      <c r="W58" s="54">
        <v>0.99</v>
      </c>
      <c r="X58" s="53">
        <v>0.995</v>
      </c>
      <c r="Y58" s="53">
        <v>0.999</v>
      </c>
      <c r="Z58" s="53">
        <v>0.99950000000000006</v>
      </c>
      <c r="AA58" s="53">
        <v>0.99990000000000001</v>
      </c>
    </row>
    <row r="59" spans="1:27" s="28" customFormat="1" x14ac:dyDescent="0.2">
      <c r="A59" s="19"/>
      <c r="B59" s="133" t="s">
        <v>259</v>
      </c>
      <c r="C59" s="23" t="s">
        <v>54</v>
      </c>
      <c r="D59" s="23">
        <v>33.6</v>
      </c>
      <c r="E59" s="23" t="s">
        <v>611</v>
      </c>
      <c r="F59" s="23" t="s">
        <v>612</v>
      </c>
      <c r="G59" s="23" t="s">
        <v>94</v>
      </c>
      <c r="H59" s="23" t="s">
        <v>484</v>
      </c>
      <c r="I59" s="23" t="s">
        <v>613</v>
      </c>
      <c r="J59" s="23"/>
      <c r="K59" s="23" t="s">
        <v>251</v>
      </c>
      <c r="L59" s="23" t="s">
        <v>97</v>
      </c>
      <c r="M59" s="23" t="s">
        <v>97</v>
      </c>
      <c r="N59" s="23" t="s">
        <v>97</v>
      </c>
      <c r="O59" s="23" t="s">
        <v>98</v>
      </c>
      <c r="P59" s="23" t="s">
        <v>82</v>
      </c>
      <c r="Q59" s="23" t="s">
        <v>241</v>
      </c>
      <c r="R59" s="23" t="s">
        <v>68</v>
      </c>
      <c r="S59" s="23" t="s">
        <v>88</v>
      </c>
      <c r="T59" s="23" t="s">
        <v>89</v>
      </c>
      <c r="U59" s="23" t="s">
        <v>242</v>
      </c>
      <c r="V59" s="23" t="s">
        <v>243</v>
      </c>
      <c r="W59" s="23" t="s">
        <v>75</v>
      </c>
      <c r="X59" s="23" t="s">
        <v>233</v>
      </c>
      <c r="Y59" s="23" t="s">
        <v>112</v>
      </c>
      <c r="Z59" s="23" t="s">
        <v>207</v>
      </c>
      <c r="AA59" s="23" t="s">
        <v>484</v>
      </c>
    </row>
    <row r="60" spans="1:27" s="28" customFormat="1" ht="14.25" customHeight="1" x14ac:dyDescent="0.2">
      <c r="A60" s="19"/>
      <c r="B60" s="133"/>
      <c r="C60" s="23" t="s">
        <v>57</v>
      </c>
      <c r="D60" s="56">
        <f>33.6*1346/1049</f>
        <v>43.11306005719733</v>
      </c>
      <c r="E60" s="23">
        <v>1346</v>
      </c>
      <c r="F60" s="23"/>
      <c r="G60" s="23"/>
      <c r="H60" s="23"/>
      <c r="I60" s="23"/>
      <c r="J60" s="23"/>
      <c r="K60" s="33">
        <v>23.144130757800895</v>
      </c>
      <c r="L60" s="33">
        <v>26.300148588410103</v>
      </c>
      <c r="M60" s="33">
        <v>28.404160475482914</v>
      </c>
      <c r="N60" s="33">
        <v>29.456166419019315</v>
      </c>
      <c r="O60" s="33">
        <v>30.508172362555719</v>
      </c>
      <c r="P60" s="33">
        <v>32.612184249628534</v>
      </c>
      <c r="Q60" s="33">
        <v>34.716196136701335</v>
      </c>
      <c r="R60" s="33">
        <v>35.768202080237742</v>
      </c>
      <c r="S60" s="33">
        <v>36.82020802377415</v>
      </c>
      <c r="T60" s="33">
        <v>38.924219910846951</v>
      </c>
      <c r="U60" s="33">
        <v>44.184249628528974</v>
      </c>
      <c r="V60" s="33">
        <v>47.34026745913819</v>
      </c>
      <c r="W60" s="33">
        <v>61.016344725111438</v>
      </c>
      <c r="X60" s="33">
        <v>66.276374442793468</v>
      </c>
      <c r="Y60" s="33">
        <v>78.900445765230316</v>
      </c>
      <c r="Z60" s="33">
        <v>86.264487369985133</v>
      </c>
      <c r="AA60" s="33">
        <v>114.66864784546806</v>
      </c>
    </row>
    <row r="61" spans="1:27" s="28" customFormat="1" x14ac:dyDescent="0.2">
      <c r="A61" s="19"/>
      <c r="B61" s="133"/>
      <c r="C61" s="23" t="s">
        <v>56</v>
      </c>
      <c r="D61" s="56">
        <f>33.6*669/1049</f>
        <v>21.428408007626313</v>
      </c>
      <c r="E61" s="23">
        <v>669</v>
      </c>
      <c r="F61" s="23"/>
      <c r="G61" s="23"/>
      <c r="H61" s="23"/>
      <c r="I61" s="23"/>
      <c r="J61" s="23"/>
      <c r="K61" s="33">
        <f>K59*2.56801195814648</f>
        <v>56.496263079222565</v>
      </c>
      <c r="L61" s="33">
        <f t="shared" ref="L61:AA61" si="5">L59*2.56801195814648</f>
        <v>61.632286995515528</v>
      </c>
      <c r="M61" s="33">
        <f t="shared" si="5"/>
        <v>61.632286995515528</v>
      </c>
      <c r="N61" s="33">
        <f t="shared" si="5"/>
        <v>61.632286995515528</v>
      </c>
      <c r="O61" s="33">
        <f t="shared" si="5"/>
        <v>64.200298953661999</v>
      </c>
      <c r="P61" s="33">
        <f t="shared" si="5"/>
        <v>66.768310911808484</v>
      </c>
      <c r="Q61" s="33">
        <f t="shared" si="5"/>
        <v>69.336322869954969</v>
      </c>
      <c r="R61" s="33">
        <f t="shared" si="5"/>
        <v>74.472346786247925</v>
      </c>
      <c r="S61" s="33">
        <f t="shared" si="5"/>
        <v>82.176382660687366</v>
      </c>
      <c r="T61" s="33">
        <v>101</v>
      </c>
      <c r="U61" s="33">
        <v>129</v>
      </c>
      <c r="V61" s="33">
        <v>182</v>
      </c>
      <c r="W61" s="33">
        <v>199</v>
      </c>
      <c r="X61" s="33">
        <v>205</v>
      </c>
      <c r="Y61" s="33">
        <v>257</v>
      </c>
      <c r="Z61" s="33">
        <v>656</v>
      </c>
      <c r="AA61" s="33">
        <f t="shared" si="5"/>
        <v>901.37219730941456</v>
      </c>
    </row>
    <row r="62" spans="1:27" s="19" customFormat="1" x14ac:dyDescent="0.2">
      <c r="B62" s="133"/>
      <c r="C62" s="27" t="s">
        <v>55</v>
      </c>
      <c r="D62" s="90">
        <f>D63*0.8902135</f>
        <v>33.472027600000004</v>
      </c>
      <c r="E62" s="90">
        <f>E63*0.8902135</f>
        <v>1045.110649</v>
      </c>
      <c r="F62" s="27"/>
      <c r="G62" s="27"/>
      <c r="H62" s="27"/>
      <c r="I62" s="27"/>
      <c r="J62" s="27"/>
      <c r="K62" s="27" t="s">
        <v>251</v>
      </c>
      <c r="L62" s="27" t="s">
        <v>97</v>
      </c>
      <c r="M62" s="27" t="s">
        <v>97</v>
      </c>
      <c r="N62" s="27" t="s">
        <v>97</v>
      </c>
      <c r="O62" s="27">
        <v>26</v>
      </c>
      <c r="P62" s="27">
        <v>27</v>
      </c>
      <c r="Q62" s="27">
        <v>28</v>
      </c>
      <c r="R62" s="27">
        <v>30</v>
      </c>
      <c r="S62" s="27">
        <v>34</v>
      </c>
      <c r="T62" s="27">
        <v>36</v>
      </c>
      <c r="U62" s="27">
        <v>36</v>
      </c>
      <c r="V62" s="27">
        <v>40</v>
      </c>
      <c r="W62" s="27">
        <v>49</v>
      </c>
      <c r="X62" s="27">
        <v>54</v>
      </c>
      <c r="Y62" s="27">
        <v>72</v>
      </c>
      <c r="Z62" s="27">
        <v>86</v>
      </c>
      <c r="AA62" s="27">
        <v>275</v>
      </c>
    </row>
    <row r="63" spans="1:27" s="19" customFormat="1" x14ac:dyDescent="0.2">
      <c r="B63" s="133"/>
      <c r="C63" s="27" t="s">
        <v>9</v>
      </c>
      <c r="D63" s="50">
        <v>37.6</v>
      </c>
      <c r="E63" s="50" t="s">
        <v>391</v>
      </c>
      <c r="F63" s="50" t="s">
        <v>392</v>
      </c>
      <c r="G63" s="50" t="s">
        <v>265</v>
      </c>
      <c r="H63" s="50" t="s">
        <v>393</v>
      </c>
      <c r="I63" s="50" t="s">
        <v>394</v>
      </c>
      <c r="J63" s="50"/>
      <c r="K63" s="50" t="s">
        <v>94</v>
      </c>
      <c r="L63" s="50" t="s">
        <v>251</v>
      </c>
      <c r="M63" s="50" t="s">
        <v>96</v>
      </c>
      <c r="N63" s="50" t="s">
        <v>96</v>
      </c>
      <c r="O63" s="50" t="s">
        <v>96</v>
      </c>
      <c r="P63" s="50" t="s">
        <v>96</v>
      </c>
      <c r="Q63" s="50" t="s">
        <v>97</v>
      </c>
      <c r="R63" s="50" t="s">
        <v>98</v>
      </c>
      <c r="S63" s="50" t="s">
        <v>82</v>
      </c>
      <c r="T63" s="50" t="s">
        <v>81</v>
      </c>
      <c r="U63" s="50" t="s">
        <v>87</v>
      </c>
      <c r="V63" s="50" t="s">
        <v>88</v>
      </c>
      <c r="W63" s="50" t="s">
        <v>72</v>
      </c>
      <c r="X63" s="50" t="s">
        <v>378</v>
      </c>
      <c r="Y63" s="50" t="s">
        <v>110</v>
      </c>
      <c r="Z63" s="50" t="s">
        <v>145</v>
      </c>
      <c r="AA63" s="50" t="s">
        <v>395</v>
      </c>
    </row>
    <row r="64" spans="1:27" s="19" customFormat="1" x14ac:dyDescent="0.2">
      <c r="B64" s="8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</row>
    <row r="65" spans="1:27" s="19" customFormat="1" x14ac:dyDescent="0.2">
      <c r="B65" s="8"/>
      <c r="D65" s="46" t="s">
        <v>105</v>
      </c>
      <c r="E65" s="46" t="s">
        <v>48</v>
      </c>
      <c r="F65" s="46" t="s">
        <v>49</v>
      </c>
      <c r="G65" s="46" t="s">
        <v>50</v>
      </c>
      <c r="H65" s="46" t="s">
        <v>51</v>
      </c>
      <c r="I65" s="46" t="s">
        <v>52</v>
      </c>
      <c r="J65" s="46" t="s">
        <v>53</v>
      </c>
      <c r="K65" s="47">
        <v>0.01</v>
      </c>
      <c r="L65" s="47">
        <v>0.05</v>
      </c>
      <c r="M65" s="47">
        <v>0.1</v>
      </c>
      <c r="N65" s="47">
        <v>0.2</v>
      </c>
      <c r="O65" s="48">
        <v>0.3</v>
      </c>
      <c r="P65" s="48">
        <v>0.4</v>
      </c>
      <c r="Q65" s="48">
        <v>0.5</v>
      </c>
      <c r="R65" s="48">
        <v>0.6</v>
      </c>
      <c r="S65" s="48">
        <v>0.7</v>
      </c>
      <c r="T65" s="48">
        <v>0.8</v>
      </c>
      <c r="U65" s="48">
        <v>0.9</v>
      </c>
      <c r="V65" s="48">
        <v>0.95</v>
      </c>
      <c r="W65" s="48">
        <v>0.99</v>
      </c>
      <c r="X65" s="47">
        <v>0.995</v>
      </c>
      <c r="Y65" s="47">
        <v>0.999</v>
      </c>
      <c r="Z65" s="47">
        <v>0.99950000000000006</v>
      </c>
      <c r="AA65" s="47">
        <v>0.99990000000000001</v>
      </c>
    </row>
    <row r="66" spans="1:27" s="28" customFormat="1" x14ac:dyDescent="0.2">
      <c r="A66" s="19"/>
      <c r="B66" s="133" t="s">
        <v>260</v>
      </c>
      <c r="C66" s="23" t="s">
        <v>54</v>
      </c>
      <c r="D66" s="23">
        <v>50.4</v>
      </c>
      <c r="E66" s="23" t="s">
        <v>629</v>
      </c>
      <c r="F66" s="23" t="s">
        <v>630</v>
      </c>
      <c r="G66" s="23" t="s">
        <v>250</v>
      </c>
      <c r="H66" s="23" t="s">
        <v>631</v>
      </c>
      <c r="I66" s="23" t="s">
        <v>632</v>
      </c>
      <c r="J66" s="23" t="s">
        <v>633</v>
      </c>
      <c r="K66" s="23" t="s">
        <v>98</v>
      </c>
      <c r="L66" s="23" t="s">
        <v>68</v>
      </c>
      <c r="M66" s="23" t="s">
        <v>88</v>
      </c>
      <c r="N66" s="23" t="s">
        <v>252</v>
      </c>
      <c r="O66" s="23" t="s">
        <v>69</v>
      </c>
      <c r="P66" s="23" t="s">
        <v>456</v>
      </c>
      <c r="Q66" s="23" t="s">
        <v>73</v>
      </c>
      <c r="R66" s="23" t="s">
        <v>301</v>
      </c>
      <c r="S66" s="23" t="s">
        <v>233</v>
      </c>
      <c r="T66" s="23" t="s">
        <v>181</v>
      </c>
      <c r="U66" s="23" t="s">
        <v>114</v>
      </c>
      <c r="V66" s="23" t="s">
        <v>166</v>
      </c>
      <c r="W66" s="23" t="s">
        <v>342</v>
      </c>
      <c r="X66" s="23" t="s">
        <v>327</v>
      </c>
      <c r="Y66" s="23" t="s">
        <v>196</v>
      </c>
      <c r="Z66" s="23" t="s">
        <v>527</v>
      </c>
      <c r="AA66" s="23" t="s">
        <v>634</v>
      </c>
    </row>
    <row r="67" spans="1:27" s="28" customFormat="1" ht="14.25" customHeight="1" x14ac:dyDescent="0.2">
      <c r="A67" s="19"/>
      <c r="B67" s="133"/>
      <c r="C67" s="23" t="s">
        <v>57</v>
      </c>
      <c r="D67" s="56">
        <f>50.4*1984/1574</f>
        <v>63.528335451080046</v>
      </c>
      <c r="E67" s="23">
        <v>1984</v>
      </c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</row>
    <row r="68" spans="1:27" s="28" customFormat="1" x14ac:dyDescent="0.2">
      <c r="A68" s="19"/>
      <c r="B68" s="133"/>
      <c r="C68" s="23" t="s">
        <v>56</v>
      </c>
      <c r="D68" s="49">
        <f>50.4*1295/1574</f>
        <v>41.466327827191868</v>
      </c>
      <c r="E68" s="28">
        <v>1295</v>
      </c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</row>
    <row r="69" spans="1:27" s="19" customFormat="1" x14ac:dyDescent="0.2">
      <c r="B69" s="133"/>
      <c r="C69" s="27" t="s">
        <v>55</v>
      </c>
      <c r="D69" s="90">
        <f>D70*0.8902135</f>
        <v>44.243610950000004</v>
      </c>
      <c r="E69" s="90">
        <f>E70*0.8902135</f>
        <v>1381.6113519999999</v>
      </c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  <c r="AA69" s="27"/>
    </row>
    <row r="70" spans="1:27" s="19" customFormat="1" x14ac:dyDescent="0.2">
      <c r="B70" s="133"/>
      <c r="C70" s="50" t="s">
        <v>9</v>
      </c>
      <c r="D70" s="50">
        <v>49.7</v>
      </c>
      <c r="E70" s="50" t="s">
        <v>383</v>
      </c>
      <c r="F70" s="50" t="s">
        <v>384</v>
      </c>
      <c r="G70" s="50" t="s">
        <v>257</v>
      </c>
      <c r="H70" s="50" t="s">
        <v>385</v>
      </c>
      <c r="I70" s="50" t="s">
        <v>386</v>
      </c>
      <c r="J70" s="50" t="s">
        <v>387</v>
      </c>
      <c r="K70" s="50" t="s">
        <v>97</v>
      </c>
      <c r="L70" s="50" t="s">
        <v>81</v>
      </c>
      <c r="M70" s="50" t="s">
        <v>87</v>
      </c>
      <c r="N70" s="50" t="s">
        <v>243</v>
      </c>
      <c r="O70" s="50" t="s">
        <v>254</v>
      </c>
      <c r="P70" s="50" t="s">
        <v>71</v>
      </c>
      <c r="Q70" s="50" t="s">
        <v>73</v>
      </c>
      <c r="R70" s="50" t="s">
        <v>301</v>
      </c>
      <c r="S70" s="50" t="s">
        <v>233</v>
      </c>
      <c r="T70" s="50" t="s">
        <v>107</v>
      </c>
      <c r="U70" s="50" t="s">
        <v>207</v>
      </c>
      <c r="V70" s="50" t="s">
        <v>167</v>
      </c>
      <c r="W70" s="50" t="s">
        <v>321</v>
      </c>
      <c r="X70" s="50" t="s">
        <v>333</v>
      </c>
      <c r="Y70" s="50" t="s">
        <v>388</v>
      </c>
      <c r="Z70" s="50" t="s">
        <v>389</v>
      </c>
      <c r="AA70" s="50" t="s">
        <v>390</v>
      </c>
    </row>
    <row r="71" spans="1:27" s="7" customFormat="1" x14ac:dyDescent="0.2">
      <c r="B71" s="8"/>
    </row>
    <row r="72" spans="1:27" s="19" customFormat="1" x14ac:dyDescent="0.2">
      <c r="B72" s="8"/>
      <c r="D72" s="46" t="s">
        <v>105</v>
      </c>
      <c r="E72" s="46" t="s">
        <v>48</v>
      </c>
      <c r="F72" s="46" t="s">
        <v>49</v>
      </c>
      <c r="G72" s="46" t="s">
        <v>50</v>
      </c>
      <c r="H72" s="46" t="s">
        <v>51</v>
      </c>
      <c r="I72" s="46" t="s">
        <v>52</v>
      </c>
      <c r="J72" s="46" t="s">
        <v>53</v>
      </c>
      <c r="K72" s="47">
        <v>0.01</v>
      </c>
      <c r="L72" s="47">
        <v>0.05</v>
      </c>
      <c r="M72" s="47">
        <v>0.1</v>
      </c>
      <c r="N72" s="47">
        <v>0.2</v>
      </c>
      <c r="O72" s="48">
        <v>0.3</v>
      </c>
      <c r="P72" s="48">
        <v>0.4</v>
      </c>
      <c r="Q72" s="48">
        <v>0.5</v>
      </c>
      <c r="R72" s="48">
        <v>0.6</v>
      </c>
      <c r="S72" s="48">
        <v>0.7</v>
      </c>
      <c r="T72" s="48">
        <v>0.8</v>
      </c>
      <c r="U72" s="48">
        <v>0.9</v>
      </c>
      <c r="V72" s="48">
        <v>0.95</v>
      </c>
      <c r="W72" s="48">
        <v>0.99</v>
      </c>
      <c r="X72" s="47">
        <v>0.995</v>
      </c>
      <c r="Y72" s="47">
        <v>0.999</v>
      </c>
      <c r="Z72" s="47">
        <v>0.99950000000000006</v>
      </c>
      <c r="AA72" s="47">
        <v>0.99990000000000001</v>
      </c>
    </row>
    <row r="73" spans="1:27" s="19" customFormat="1" x14ac:dyDescent="0.2">
      <c r="B73" s="133" t="s">
        <v>261</v>
      </c>
      <c r="C73" s="27" t="s">
        <v>54</v>
      </c>
      <c r="D73" s="27" t="s">
        <v>223</v>
      </c>
      <c r="E73" s="27" t="s">
        <v>614</v>
      </c>
      <c r="F73" s="27" t="s">
        <v>615</v>
      </c>
      <c r="G73" s="27" t="s">
        <v>93</v>
      </c>
      <c r="H73" s="27" t="s">
        <v>616</v>
      </c>
      <c r="I73" s="27" t="s">
        <v>617</v>
      </c>
      <c r="J73" s="27" t="s">
        <v>618</v>
      </c>
      <c r="K73" s="27" t="s">
        <v>86</v>
      </c>
      <c r="L73" s="27" t="s">
        <v>69</v>
      </c>
      <c r="M73" s="27" t="s">
        <v>255</v>
      </c>
      <c r="N73" s="27" t="s">
        <v>307</v>
      </c>
      <c r="O73" s="27" t="s">
        <v>76</v>
      </c>
      <c r="P73" s="27" t="s">
        <v>109</v>
      </c>
      <c r="Q73" s="27" t="s">
        <v>145</v>
      </c>
      <c r="R73" s="27" t="s">
        <v>148</v>
      </c>
      <c r="S73" s="27" t="s">
        <v>218</v>
      </c>
      <c r="T73" s="27" t="s">
        <v>127</v>
      </c>
      <c r="U73" s="27" t="s">
        <v>153</v>
      </c>
      <c r="V73" s="27" t="s">
        <v>278</v>
      </c>
      <c r="W73" s="27" t="s">
        <v>417</v>
      </c>
      <c r="X73" s="27" t="s">
        <v>484</v>
      </c>
      <c r="Y73" s="27" t="s">
        <v>619</v>
      </c>
      <c r="Z73" s="27" t="s">
        <v>324</v>
      </c>
      <c r="AA73" s="27" t="s">
        <v>620</v>
      </c>
    </row>
    <row r="74" spans="1:27" s="28" customFormat="1" ht="14.25" customHeight="1" x14ac:dyDescent="0.2">
      <c r="A74" s="19"/>
      <c r="B74" s="133"/>
      <c r="C74" s="23" t="s">
        <v>57</v>
      </c>
      <c r="D74" s="56">
        <f>56*2290/1749</f>
        <v>73.321898227558606</v>
      </c>
      <c r="E74" s="23">
        <v>2290</v>
      </c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</row>
    <row r="75" spans="1:27" s="28" customFormat="1" x14ac:dyDescent="0.2">
      <c r="A75" s="19"/>
      <c r="B75" s="133"/>
      <c r="C75" s="23" t="s">
        <v>56</v>
      </c>
      <c r="D75" s="56">
        <f>56*1496/1574</f>
        <v>53.224904701397712</v>
      </c>
      <c r="E75" s="81">
        <v>1496</v>
      </c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</row>
    <row r="76" spans="1:27" s="19" customFormat="1" x14ac:dyDescent="0.2">
      <c r="B76" s="133"/>
      <c r="C76" s="27" t="s">
        <v>55</v>
      </c>
      <c r="D76" s="90">
        <f>D77*0.8902135</f>
        <v>57.41877075</v>
      </c>
      <c r="E76" s="90">
        <f>E77*0.8902135</f>
        <v>1793.7802025000001</v>
      </c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  <c r="AA76" s="27"/>
    </row>
    <row r="77" spans="1:27" s="19" customFormat="1" x14ac:dyDescent="0.2">
      <c r="B77" s="133"/>
      <c r="C77" s="84" t="s">
        <v>9</v>
      </c>
      <c r="D77" s="84">
        <v>64.5</v>
      </c>
      <c r="E77" s="84" t="s">
        <v>373</v>
      </c>
      <c r="F77" s="84" t="s">
        <v>374</v>
      </c>
      <c r="G77" s="84" t="s">
        <v>257</v>
      </c>
      <c r="H77" s="84" t="s">
        <v>375</v>
      </c>
      <c r="I77" s="84" t="s">
        <v>376</v>
      </c>
      <c r="J77" s="84" t="s">
        <v>377</v>
      </c>
      <c r="K77" s="84" t="s">
        <v>82</v>
      </c>
      <c r="L77" s="84" t="s">
        <v>89</v>
      </c>
      <c r="M77" s="84" t="s">
        <v>244</v>
      </c>
      <c r="N77" s="84" t="s">
        <v>255</v>
      </c>
      <c r="O77" s="84" t="s">
        <v>378</v>
      </c>
      <c r="P77" s="84" t="s">
        <v>106</v>
      </c>
      <c r="Q77" s="84" t="s">
        <v>181</v>
      </c>
      <c r="R77" s="84" t="s">
        <v>112</v>
      </c>
      <c r="S77" s="84" t="s">
        <v>146</v>
      </c>
      <c r="T77" s="84" t="s">
        <v>217</v>
      </c>
      <c r="U77" s="84" t="s">
        <v>128</v>
      </c>
      <c r="V77" s="84" t="s">
        <v>153</v>
      </c>
      <c r="W77" s="84" t="s">
        <v>379</v>
      </c>
      <c r="X77" s="84" t="s">
        <v>380</v>
      </c>
      <c r="Y77" s="84" t="s">
        <v>370</v>
      </c>
      <c r="Z77" s="84" t="s">
        <v>381</v>
      </c>
      <c r="AA77" s="84" t="s">
        <v>382</v>
      </c>
    </row>
    <row r="78" spans="1:27" s="7" customFormat="1" x14ac:dyDescent="0.2">
      <c r="B78" s="8"/>
    </row>
    <row r="79" spans="1:27" s="19" customFormat="1" x14ac:dyDescent="0.2">
      <c r="B79" s="8"/>
      <c r="D79" s="84" t="s">
        <v>105</v>
      </c>
      <c r="E79" s="84" t="s">
        <v>48</v>
      </c>
      <c r="F79" s="84" t="s">
        <v>49</v>
      </c>
      <c r="G79" s="84" t="s">
        <v>50</v>
      </c>
      <c r="H79" s="84" t="s">
        <v>51</v>
      </c>
      <c r="I79" s="84" t="s">
        <v>52</v>
      </c>
      <c r="J79" s="84" t="s">
        <v>53</v>
      </c>
      <c r="K79" s="53">
        <v>0.01</v>
      </c>
      <c r="L79" s="53">
        <v>0.05</v>
      </c>
      <c r="M79" s="53">
        <v>0.1</v>
      </c>
      <c r="N79" s="53">
        <v>0.2</v>
      </c>
      <c r="O79" s="54">
        <v>0.3</v>
      </c>
      <c r="P79" s="54">
        <v>0.4</v>
      </c>
      <c r="Q79" s="54">
        <v>0.5</v>
      </c>
      <c r="R79" s="54">
        <v>0.6</v>
      </c>
      <c r="S79" s="54">
        <v>0.7</v>
      </c>
      <c r="T79" s="54">
        <v>0.8</v>
      </c>
      <c r="U79" s="54">
        <v>0.9</v>
      </c>
      <c r="V79" s="54">
        <v>0.95</v>
      </c>
      <c r="W79" s="54">
        <v>0.99</v>
      </c>
      <c r="X79" s="53">
        <v>0.995</v>
      </c>
      <c r="Y79" s="53">
        <v>0.999</v>
      </c>
      <c r="Z79" s="53">
        <v>0.99950000000000006</v>
      </c>
      <c r="AA79" s="53">
        <v>0.99990000000000001</v>
      </c>
    </row>
    <row r="80" spans="1:27" s="19" customFormat="1" x14ac:dyDescent="0.2">
      <c r="B80" s="134" t="s">
        <v>262</v>
      </c>
      <c r="C80" s="27" t="s">
        <v>54</v>
      </c>
      <c r="D80" s="27">
        <v>64.3</v>
      </c>
      <c r="E80" s="27" t="s">
        <v>621</v>
      </c>
      <c r="F80" s="27" t="s">
        <v>622</v>
      </c>
      <c r="G80" s="27" t="s">
        <v>452</v>
      </c>
      <c r="H80" s="27" t="s">
        <v>623</v>
      </c>
      <c r="I80" s="27" t="s">
        <v>624</v>
      </c>
      <c r="J80" s="27" t="s">
        <v>625</v>
      </c>
      <c r="K80" s="27" t="s">
        <v>242</v>
      </c>
      <c r="L80" s="27" t="s">
        <v>255</v>
      </c>
      <c r="M80" s="27" t="s">
        <v>378</v>
      </c>
      <c r="N80" s="27" t="s">
        <v>76</v>
      </c>
      <c r="O80" s="27" t="s">
        <v>111</v>
      </c>
      <c r="P80" s="27" t="s">
        <v>114</v>
      </c>
      <c r="Q80" s="27" t="s">
        <v>165</v>
      </c>
      <c r="R80" s="27" t="s">
        <v>218</v>
      </c>
      <c r="S80" s="27" t="s">
        <v>182</v>
      </c>
      <c r="T80" s="27" t="s">
        <v>238</v>
      </c>
      <c r="U80" s="27" t="s">
        <v>135</v>
      </c>
      <c r="V80" s="27" t="s">
        <v>352</v>
      </c>
      <c r="W80" s="27" t="s">
        <v>280</v>
      </c>
      <c r="X80" s="27" t="s">
        <v>626</v>
      </c>
      <c r="Y80" s="27" t="s">
        <v>371</v>
      </c>
      <c r="Z80" s="27" t="s">
        <v>627</v>
      </c>
      <c r="AA80" s="27" t="s">
        <v>628</v>
      </c>
    </row>
    <row r="81" spans="1:28" s="19" customFormat="1" x14ac:dyDescent="0.2">
      <c r="B81" s="134"/>
      <c r="C81" s="7"/>
      <c r="D81" s="51" t="s">
        <v>76</v>
      </c>
      <c r="E81" s="51" t="s">
        <v>635</v>
      </c>
      <c r="F81" s="51" t="s">
        <v>563</v>
      </c>
      <c r="G81" s="51" t="s">
        <v>250</v>
      </c>
      <c r="H81" s="51" t="s">
        <v>636</v>
      </c>
      <c r="I81" s="51" t="s">
        <v>637</v>
      </c>
      <c r="J81" s="51" t="s">
        <v>638</v>
      </c>
      <c r="K81" s="51" t="s">
        <v>97</v>
      </c>
      <c r="L81" s="51" t="s">
        <v>81</v>
      </c>
      <c r="M81" s="51" t="s">
        <v>86</v>
      </c>
      <c r="N81" s="51" t="s">
        <v>89</v>
      </c>
      <c r="O81" s="51" t="s">
        <v>243</v>
      </c>
      <c r="P81" s="51" t="s">
        <v>244</v>
      </c>
      <c r="Q81" s="51" t="s">
        <v>69</v>
      </c>
      <c r="R81" s="51" t="s">
        <v>456</v>
      </c>
      <c r="S81" s="51" t="s">
        <v>255</v>
      </c>
      <c r="T81" s="51" t="s">
        <v>301</v>
      </c>
      <c r="U81" s="51" t="s">
        <v>213</v>
      </c>
      <c r="V81" s="51" t="s">
        <v>110</v>
      </c>
      <c r="W81" s="51" t="s">
        <v>167</v>
      </c>
      <c r="X81" s="51" t="s">
        <v>258</v>
      </c>
      <c r="Y81" s="51" t="s">
        <v>238</v>
      </c>
      <c r="Z81" s="51" t="s">
        <v>153</v>
      </c>
      <c r="AA81" s="51" t="s">
        <v>185</v>
      </c>
    </row>
    <row r="82" spans="1:28" s="19" customFormat="1" ht="14.25" customHeight="1" x14ac:dyDescent="0.2">
      <c r="B82" s="134"/>
      <c r="C82" s="27" t="s">
        <v>57</v>
      </c>
      <c r="D82" s="90">
        <f>64.3*2414/2008</f>
        <v>77.300896414342617</v>
      </c>
      <c r="E82" s="27">
        <v>2414</v>
      </c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  <c r="AA82" s="27"/>
    </row>
    <row r="83" spans="1:28" s="28" customFormat="1" x14ac:dyDescent="0.2">
      <c r="A83" s="19"/>
      <c r="B83" s="134"/>
      <c r="C83" s="23" t="s">
        <v>56</v>
      </c>
      <c r="D83" s="56">
        <f>64.3*1588/2008</f>
        <v>50.850796812749003</v>
      </c>
      <c r="E83" s="81">
        <v>1588</v>
      </c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</row>
    <row r="84" spans="1:28" s="28" customFormat="1" x14ac:dyDescent="0.2">
      <c r="A84" s="19"/>
      <c r="B84" s="134"/>
      <c r="C84" s="23" t="s">
        <v>55</v>
      </c>
      <c r="D84" s="56">
        <f>D85*0.8902135</f>
        <v>65.163628200000005</v>
      </c>
      <c r="E84" s="56">
        <f>E85*0.8902135</f>
        <v>2035.9182745000001</v>
      </c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</row>
    <row r="85" spans="1:28" s="19" customFormat="1" x14ac:dyDescent="0.2">
      <c r="B85" s="134"/>
      <c r="C85" s="27" t="s">
        <v>9</v>
      </c>
      <c r="D85" s="27">
        <v>73.2</v>
      </c>
      <c r="E85" s="27" t="s">
        <v>363</v>
      </c>
      <c r="F85" s="27" t="s">
        <v>364</v>
      </c>
      <c r="G85" s="27" t="s">
        <v>250</v>
      </c>
      <c r="H85" s="27" t="s">
        <v>365</v>
      </c>
      <c r="I85" s="27" t="s">
        <v>366</v>
      </c>
      <c r="J85" s="27" t="s">
        <v>367</v>
      </c>
      <c r="K85" s="27" t="s">
        <v>87</v>
      </c>
      <c r="L85" s="27" t="s">
        <v>69</v>
      </c>
      <c r="M85" s="27" t="s">
        <v>255</v>
      </c>
      <c r="N85" s="27" t="s">
        <v>256</v>
      </c>
      <c r="O85" s="27" t="s">
        <v>76</v>
      </c>
      <c r="P85" s="27" t="s">
        <v>109</v>
      </c>
      <c r="Q85" s="27" t="s">
        <v>145</v>
      </c>
      <c r="R85" s="27" t="s">
        <v>147</v>
      </c>
      <c r="S85" s="27" t="s">
        <v>245</v>
      </c>
      <c r="T85" s="27" t="s">
        <v>326</v>
      </c>
      <c r="U85" s="27" t="s">
        <v>368</v>
      </c>
      <c r="V85" s="27" t="s">
        <v>343</v>
      </c>
      <c r="W85" s="27" t="s">
        <v>369</v>
      </c>
      <c r="X85" s="27" t="s">
        <v>101</v>
      </c>
      <c r="Y85" s="27" t="s">
        <v>370</v>
      </c>
      <c r="Z85" s="27" t="s">
        <v>371</v>
      </c>
      <c r="AA85" s="27" t="s">
        <v>372</v>
      </c>
    </row>
    <row r="86" spans="1:28" s="19" customFormat="1" x14ac:dyDescent="0.2">
      <c r="A86" s="25"/>
      <c r="B86" s="8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25"/>
      <c r="Z86" s="25"/>
      <c r="AA86" s="25"/>
    </row>
    <row r="87" spans="1:28" x14ac:dyDescent="0.2">
      <c r="A87" s="19"/>
      <c r="B87" s="7"/>
    </row>
    <row r="89" spans="1:28" s="28" customFormat="1" x14ac:dyDescent="0.2">
      <c r="A89" s="25"/>
      <c r="B89" s="25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  <c r="AA89" s="25"/>
      <c r="AB89" s="12"/>
    </row>
    <row r="90" spans="1:28" s="28" customFormat="1" x14ac:dyDescent="0.2">
      <c r="A90" s="25"/>
      <c r="B90" s="25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  <c r="AA90" s="25"/>
      <c r="AB90" s="12"/>
    </row>
    <row r="91" spans="1:28" s="28" customFormat="1" x14ac:dyDescent="0.2">
      <c r="A91" s="25"/>
      <c r="B91" s="25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  <c r="AA91" s="25"/>
      <c r="AB91" s="12"/>
    </row>
    <row r="92" spans="1:28" s="28" customFormat="1" x14ac:dyDescent="0.2">
      <c r="A92" s="25"/>
      <c r="B92" s="25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  <c r="AA92" s="25"/>
      <c r="AB92" s="12"/>
    </row>
    <row r="93" spans="1:28" s="28" customFormat="1" ht="12.75" customHeight="1" x14ac:dyDescent="0.2">
      <c r="A93" s="25"/>
      <c r="B93" s="25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0"/>
      <c r="Z93" s="20"/>
      <c r="AA93" s="20"/>
      <c r="AB93" s="12"/>
    </row>
    <row r="94" spans="1:28" s="28" customFormat="1" ht="27.75" customHeight="1" x14ac:dyDescent="0.2">
      <c r="A94" s="83"/>
      <c r="B94" s="83"/>
      <c r="C94" s="83"/>
      <c r="D94" s="80" t="s">
        <v>62</v>
      </c>
      <c r="E94" s="80" t="s">
        <v>739</v>
      </c>
      <c r="F94" s="80"/>
      <c r="G94" s="80"/>
      <c r="H94" s="80"/>
      <c r="I94" s="80"/>
      <c r="J94" s="8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AB94" s="12"/>
    </row>
    <row r="95" spans="1:28" s="19" customFormat="1" x14ac:dyDescent="0.2">
      <c r="A95" s="25"/>
      <c r="B95" s="25"/>
      <c r="C95" s="7"/>
      <c r="D95" s="23" t="s">
        <v>47</v>
      </c>
      <c r="E95" s="23" t="s">
        <v>48</v>
      </c>
      <c r="F95" s="23" t="s">
        <v>49</v>
      </c>
      <c r="G95" s="23" t="s">
        <v>50</v>
      </c>
      <c r="H95" s="23" t="s">
        <v>51</v>
      </c>
      <c r="I95" s="23" t="s">
        <v>52</v>
      </c>
      <c r="J95" s="23" t="s">
        <v>53</v>
      </c>
      <c r="K95" s="29">
        <v>0.01</v>
      </c>
      <c r="L95" s="29">
        <v>0.05</v>
      </c>
      <c r="M95" s="29">
        <v>0.1</v>
      </c>
      <c r="N95" s="29">
        <v>0.2</v>
      </c>
      <c r="O95" s="30">
        <v>0.3</v>
      </c>
      <c r="P95" s="30">
        <v>0.4</v>
      </c>
      <c r="Q95" s="30">
        <v>0.5</v>
      </c>
      <c r="R95" s="30">
        <v>0.6</v>
      </c>
      <c r="S95" s="30">
        <v>0.7</v>
      </c>
      <c r="T95" s="30">
        <v>0.8</v>
      </c>
      <c r="U95" s="30">
        <v>0.9</v>
      </c>
      <c r="V95" s="30">
        <v>0.95</v>
      </c>
      <c r="W95" s="30">
        <v>0.99</v>
      </c>
      <c r="X95" s="29">
        <v>0.995</v>
      </c>
      <c r="Y95" s="29">
        <v>0.999</v>
      </c>
      <c r="Z95" s="29">
        <v>0.99950000000000006</v>
      </c>
      <c r="AA95" s="31">
        <v>0.99990000000000001</v>
      </c>
      <c r="AB95" s="7"/>
    </row>
    <row r="96" spans="1:28" s="19" customFormat="1" x14ac:dyDescent="0.2">
      <c r="B96" s="118" t="s">
        <v>740</v>
      </c>
      <c r="C96" s="27" t="s">
        <v>54</v>
      </c>
      <c r="D96" s="27" t="s">
        <v>118</v>
      </c>
      <c r="E96" s="27" t="s">
        <v>119</v>
      </c>
      <c r="F96" s="27" t="s">
        <v>120</v>
      </c>
      <c r="G96" s="27" t="s">
        <v>68</v>
      </c>
      <c r="H96" s="27" t="s">
        <v>121</v>
      </c>
      <c r="I96" s="27" t="s">
        <v>122</v>
      </c>
      <c r="J96" s="27" t="s">
        <v>123</v>
      </c>
      <c r="K96" s="27" t="s">
        <v>124</v>
      </c>
      <c r="L96" s="27" t="s">
        <v>125</v>
      </c>
      <c r="M96" s="27" t="s">
        <v>126</v>
      </c>
      <c r="N96" s="27" t="s">
        <v>127</v>
      </c>
      <c r="O96" s="27" t="s">
        <v>128</v>
      </c>
      <c r="P96" s="27" t="s">
        <v>129</v>
      </c>
      <c r="Q96" s="27" t="s">
        <v>130</v>
      </c>
      <c r="R96" s="27" t="s">
        <v>131</v>
      </c>
      <c r="S96" s="27" t="s">
        <v>132</v>
      </c>
      <c r="T96" s="27" t="s">
        <v>133</v>
      </c>
      <c r="U96" s="27" t="s">
        <v>134</v>
      </c>
      <c r="V96" s="27" t="s">
        <v>135</v>
      </c>
      <c r="W96" s="27" t="s">
        <v>90</v>
      </c>
      <c r="X96" s="27" t="s">
        <v>136</v>
      </c>
      <c r="Y96" s="27" t="s">
        <v>137</v>
      </c>
      <c r="Z96" s="27" t="s">
        <v>137</v>
      </c>
      <c r="AA96" s="52" t="s">
        <v>138</v>
      </c>
    </row>
    <row r="97" spans="1:27" s="19" customFormat="1" x14ac:dyDescent="0.2">
      <c r="A97" s="109" t="s">
        <v>61</v>
      </c>
      <c r="B97" s="118"/>
      <c r="C97" s="27" t="s">
        <v>57</v>
      </c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  <c r="AA97" s="52"/>
    </row>
    <row r="98" spans="1:27" s="19" customFormat="1" x14ac:dyDescent="0.2">
      <c r="A98" s="109"/>
      <c r="B98" s="118"/>
      <c r="C98" s="27" t="s">
        <v>56</v>
      </c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  <c r="AA98" s="52"/>
    </row>
    <row r="99" spans="1:27" s="19" customFormat="1" x14ac:dyDescent="0.2">
      <c r="A99" s="109"/>
      <c r="B99" s="118"/>
      <c r="C99" s="27" t="s">
        <v>55</v>
      </c>
      <c r="D99" s="27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  <c r="AA99" s="52"/>
    </row>
    <row r="100" spans="1:27" s="19" customFormat="1" x14ac:dyDescent="0.2">
      <c r="A100" s="109"/>
      <c r="B100" s="118"/>
      <c r="C100" s="27" t="s">
        <v>9</v>
      </c>
      <c r="D100" s="27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  <c r="AA100" s="52"/>
    </row>
    <row r="101" spans="1:27" s="78" customFormat="1" x14ac:dyDescent="0.2">
      <c r="A101" s="109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</row>
    <row r="102" spans="1:27" s="78" customFormat="1" x14ac:dyDescent="0.2">
      <c r="A102" s="109"/>
      <c r="B102" s="83"/>
      <c r="C102" s="7"/>
      <c r="D102" s="81" t="s">
        <v>47</v>
      </c>
      <c r="E102" s="81" t="s">
        <v>48</v>
      </c>
      <c r="F102" s="81" t="s">
        <v>49</v>
      </c>
      <c r="G102" s="81" t="s">
        <v>50</v>
      </c>
      <c r="H102" s="81" t="s">
        <v>51</v>
      </c>
      <c r="I102" s="81" t="s">
        <v>52</v>
      </c>
      <c r="J102" s="81" t="s">
        <v>53</v>
      </c>
      <c r="K102" s="29">
        <v>0.01</v>
      </c>
      <c r="L102" s="29">
        <v>0.05</v>
      </c>
      <c r="M102" s="29">
        <v>0.1</v>
      </c>
      <c r="N102" s="29">
        <v>0.2</v>
      </c>
      <c r="O102" s="30">
        <v>0.3</v>
      </c>
      <c r="P102" s="30">
        <v>0.4</v>
      </c>
      <c r="Q102" s="30">
        <v>0.5</v>
      </c>
      <c r="R102" s="30">
        <v>0.6</v>
      </c>
      <c r="S102" s="30">
        <v>0.7</v>
      </c>
      <c r="T102" s="30">
        <v>0.8</v>
      </c>
      <c r="U102" s="30">
        <v>0.9</v>
      </c>
      <c r="V102" s="30">
        <v>0.95</v>
      </c>
      <c r="W102" s="30">
        <v>0.99</v>
      </c>
      <c r="X102" s="29">
        <v>0.995</v>
      </c>
      <c r="Y102" s="29">
        <v>0.999</v>
      </c>
      <c r="Z102" s="29">
        <v>0.99950000000000006</v>
      </c>
      <c r="AA102" s="31">
        <v>0.99990000000000001</v>
      </c>
    </row>
    <row r="103" spans="1:27" s="78" customFormat="1" x14ac:dyDescent="0.2">
      <c r="A103" s="109"/>
      <c r="B103" s="118" t="s">
        <v>741</v>
      </c>
      <c r="C103" s="84" t="s">
        <v>54</v>
      </c>
      <c r="D103" s="84" t="s">
        <v>590</v>
      </c>
      <c r="E103" s="84" t="s">
        <v>591</v>
      </c>
      <c r="F103" s="84" t="s">
        <v>592</v>
      </c>
      <c r="G103" s="84" t="s">
        <v>95</v>
      </c>
      <c r="H103" s="84" t="s">
        <v>593</v>
      </c>
      <c r="I103" s="84" t="s">
        <v>594</v>
      </c>
      <c r="J103" s="84" t="s">
        <v>595</v>
      </c>
      <c r="K103" s="84" t="s">
        <v>81</v>
      </c>
      <c r="L103" s="84" t="s">
        <v>68</v>
      </c>
      <c r="M103" s="84" t="s">
        <v>68</v>
      </c>
      <c r="N103" s="84" t="s">
        <v>68</v>
      </c>
      <c r="O103" s="84" t="s">
        <v>68</v>
      </c>
      <c r="P103" s="84" t="s">
        <v>244</v>
      </c>
      <c r="Q103" s="84" t="s">
        <v>233</v>
      </c>
      <c r="R103" s="84" t="s">
        <v>111</v>
      </c>
      <c r="S103" s="84" t="s">
        <v>125</v>
      </c>
      <c r="T103" s="84" t="s">
        <v>152</v>
      </c>
      <c r="U103" s="84" t="s">
        <v>342</v>
      </c>
      <c r="V103" s="84" t="s">
        <v>263</v>
      </c>
      <c r="W103" s="84" t="s">
        <v>322</v>
      </c>
      <c r="X103" s="84" t="s">
        <v>596</v>
      </c>
      <c r="Y103" s="84" t="s">
        <v>597</v>
      </c>
      <c r="Z103" s="84" t="s">
        <v>597</v>
      </c>
      <c r="AA103" s="52" t="s">
        <v>597</v>
      </c>
    </row>
    <row r="104" spans="1:27" s="78" customFormat="1" x14ac:dyDescent="0.2">
      <c r="A104" s="109"/>
      <c r="B104" s="118"/>
      <c r="C104" s="84" t="s">
        <v>57</v>
      </c>
      <c r="D104" s="84"/>
      <c r="E104" s="84"/>
      <c r="F104" s="84"/>
      <c r="G104" s="84"/>
      <c r="H104" s="84"/>
      <c r="I104" s="84"/>
      <c r="J104" s="84"/>
      <c r="K104" s="84"/>
      <c r="L104" s="84"/>
      <c r="M104" s="84"/>
      <c r="N104" s="84"/>
      <c r="O104" s="84"/>
      <c r="P104" s="84"/>
      <c r="Q104" s="84"/>
      <c r="R104" s="84"/>
      <c r="S104" s="84"/>
      <c r="T104" s="84"/>
      <c r="U104" s="84"/>
      <c r="V104" s="84"/>
      <c r="W104" s="84"/>
      <c r="X104" s="84"/>
      <c r="Y104" s="84"/>
      <c r="Z104" s="84"/>
      <c r="AA104" s="52"/>
    </row>
    <row r="105" spans="1:27" s="78" customFormat="1" x14ac:dyDescent="0.2">
      <c r="A105" s="109"/>
      <c r="B105" s="118"/>
      <c r="C105" s="84" t="s">
        <v>56</v>
      </c>
      <c r="D105" s="84"/>
      <c r="E105" s="84"/>
      <c r="F105" s="84"/>
      <c r="G105" s="84"/>
      <c r="H105" s="84"/>
      <c r="I105" s="84"/>
      <c r="J105" s="84"/>
      <c r="K105" s="84"/>
      <c r="L105" s="84"/>
      <c r="M105" s="84"/>
      <c r="N105" s="84"/>
      <c r="O105" s="84"/>
      <c r="P105" s="84"/>
      <c r="Q105" s="84"/>
      <c r="R105" s="84"/>
      <c r="S105" s="84"/>
      <c r="T105" s="84"/>
      <c r="U105" s="84"/>
      <c r="V105" s="84"/>
      <c r="W105" s="84"/>
      <c r="X105" s="84"/>
      <c r="Y105" s="84"/>
      <c r="Z105" s="84"/>
      <c r="AA105" s="52"/>
    </row>
    <row r="106" spans="1:27" s="78" customFormat="1" x14ac:dyDescent="0.2">
      <c r="A106" s="109"/>
      <c r="B106" s="118"/>
      <c r="C106" s="84" t="s">
        <v>55</v>
      </c>
      <c r="D106" s="84"/>
      <c r="E106" s="84"/>
      <c r="F106" s="84"/>
      <c r="G106" s="84"/>
      <c r="H106" s="84"/>
      <c r="I106" s="84"/>
      <c r="J106" s="84"/>
      <c r="K106" s="84"/>
      <c r="L106" s="84"/>
      <c r="M106" s="84"/>
      <c r="N106" s="84"/>
      <c r="O106" s="84"/>
      <c r="P106" s="84"/>
      <c r="Q106" s="84"/>
      <c r="R106" s="84"/>
      <c r="S106" s="84"/>
      <c r="T106" s="84"/>
      <c r="U106" s="84"/>
      <c r="V106" s="84"/>
      <c r="W106" s="84"/>
      <c r="X106" s="84"/>
      <c r="Y106" s="84"/>
      <c r="Z106" s="84"/>
      <c r="AA106" s="52"/>
    </row>
    <row r="107" spans="1:27" s="78" customFormat="1" x14ac:dyDescent="0.2">
      <c r="A107" s="109"/>
      <c r="B107" s="118"/>
      <c r="C107" s="84" t="s">
        <v>9</v>
      </c>
      <c r="D107" s="84"/>
      <c r="E107" s="84"/>
      <c r="F107" s="84"/>
      <c r="G107" s="84"/>
      <c r="H107" s="84"/>
      <c r="I107" s="84"/>
      <c r="J107" s="84"/>
      <c r="K107" s="84"/>
      <c r="L107" s="84"/>
      <c r="M107" s="84"/>
      <c r="N107" s="84"/>
      <c r="O107" s="84"/>
      <c r="P107" s="84"/>
      <c r="Q107" s="84"/>
      <c r="R107" s="84"/>
      <c r="S107" s="84"/>
      <c r="T107" s="84"/>
      <c r="U107" s="84"/>
      <c r="V107" s="84"/>
      <c r="W107" s="84"/>
      <c r="X107" s="84"/>
      <c r="Y107" s="84"/>
      <c r="Z107" s="84"/>
      <c r="AA107" s="52"/>
    </row>
    <row r="108" spans="1:27" s="78" customFormat="1" x14ac:dyDescent="0.2">
      <c r="A108" s="109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</row>
    <row r="109" spans="1:27" s="78" customFormat="1" x14ac:dyDescent="0.2">
      <c r="A109" s="109"/>
      <c r="B109" s="83"/>
      <c r="C109" s="7"/>
      <c r="D109" s="81" t="s">
        <v>47</v>
      </c>
      <c r="E109" s="81" t="s">
        <v>48</v>
      </c>
      <c r="F109" s="81" t="s">
        <v>49</v>
      </c>
      <c r="G109" s="81" t="s">
        <v>50</v>
      </c>
      <c r="H109" s="81" t="s">
        <v>51</v>
      </c>
      <c r="I109" s="81" t="s">
        <v>52</v>
      </c>
      <c r="J109" s="81" t="s">
        <v>53</v>
      </c>
      <c r="K109" s="29">
        <v>0.01</v>
      </c>
      <c r="L109" s="29">
        <v>0.05</v>
      </c>
      <c r="M109" s="29">
        <v>0.1</v>
      </c>
      <c r="N109" s="29">
        <v>0.2</v>
      </c>
      <c r="O109" s="30">
        <v>0.3</v>
      </c>
      <c r="P109" s="30">
        <v>0.4</v>
      </c>
      <c r="Q109" s="30">
        <v>0.5</v>
      </c>
      <c r="R109" s="30">
        <v>0.6</v>
      </c>
      <c r="S109" s="30">
        <v>0.7</v>
      </c>
      <c r="T109" s="30">
        <v>0.8</v>
      </c>
      <c r="U109" s="30">
        <v>0.9</v>
      </c>
      <c r="V109" s="30">
        <v>0.95</v>
      </c>
      <c r="W109" s="30">
        <v>0.99</v>
      </c>
      <c r="X109" s="29">
        <v>0.995</v>
      </c>
      <c r="Y109" s="29">
        <v>0.999</v>
      </c>
      <c r="Z109" s="29">
        <v>0.99950000000000006</v>
      </c>
      <c r="AA109" s="31">
        <v>0.99990000000000001</v>
      </c>
    </row>
    <row r="110" spans="1:27" s="78" customFormat="1" x14ac:dyDescent="0.2">
      <c r="A110" s="109"/>
      <c r="B110" s="118" t="s">
        <v>742</v>
      </c>
      <c r="C110" s="84" t="s">
        <v>54</v>
      </c>
      <c r="D110" s="84">
        <v>2688</v>
      </c>
      <c r="E110" s="84">
        <v>84</v>
      </c>
      <c r="F110" s="84"/>
      <c r="G110" s="84"/>
      <c r="H110" s="84"/>
      <c r="I110" s="84"/>
      <c r="J110" s="84"/>
      <c r="K110" s="84"/>
      <c r="L110" s="84"/>
      <c r="M110" s="84"/>
      <c r="N110" s="84"/>
      <c r="O110" s="84"/>
      <c r="P110" s="84"/>
      <c r="Q110" s="84"/>
      <c r="R110" s="84"/>
      <c r="S110" s="84"/>
      <c r="T110" s="84"/>
      <c r="U110" s="84"/>
      <c r="V110" s="84"/>
      <c r="W110" s="84"/>
      <c r="X110" s="84"/>
      <c r="Y110" s="84"/>
      <c r="Z110" s="84"/>
      <c r="AA110" s="52"/>
    </row>
    <row r="111" spans="1:27" s="78" customFormat="1" x14ac:dyDescent="0.2">
      <c r="A111" s="109"/>
      <c r="B111" s="118"/>
      <c r="C111" s="84" t="s">
        <v>57</v>
      </c>
      <c r="D111" s="84"/>
      <c r="E111" s="84"/>
      <c r="F111" s="84"/>
      <c r="G111" s="84"/>
      <c r="H111" s="84"/>
      <c r="I111" s="84"/>
      <c r="J111" s="84"/>
      <c r="K111" s="84"/>
      <c r="L111" s="84"/>
      <c r="M111" s="84"/>
      <c r="N111" s="84"/>
      <c r="O111" s="84"/>
      <c r="P111" s="84"/>
      <c r="Q111" s="84"/>
      <c r="R111" s="84"/>
      <c r="S111" s="84"/>
      <c r="T111" s="84"/>
      <c r="U111" s="84"/>
      <c r="V111" s="84"/>
      <c r="W111" s="84"/>
      <c r="X111" s="84"/>
      <c r="Y111" s="84"/>
      <c r="Z111" s="84"/>
      <c r="AA111" s="52"/>
    </row>
    <row r="112" spans="1:27" s="78" customFormat="1" x14ac:dyDescent="0.2">
      <c r="A112" s="109"/>
      <c r="B112" s="118"/>
      <c r="C112" s="84" t="s">
        <v>56</v>
      </c>
      <c r="D112" s="84"/>
      <c r="E112" s="84"/>
      <c r="F112" s="84"/>
      <c r="G112" s="84"/>
      <c r="H112" s="84"/>
      <c r="I112" s="84"/>
      <c r="J112" s="84"/>
      <c r="K112" s="84"/>
      <c r="L112" s="84"/>
      <c r="M112" s="84"/>
      <c r="N112" s="84"/>
      <c r="O112" s="84"/>
      <c r="P112" s="84"/>
      <c r="Q112" s="84"/>
      <c r="R112" s="84"/>
      <c r="S112" s="84"/>
      <c r="T112" s="84"/>
      <c r="U112" s="84"/>
      <c r="V112" s="84"/>
      <c r="W112" s="84"/>
      <c r="X112" s="84"/>
      <c r="Y112" s="84"/>
      <c r="Z112" s="84"/>
      <c r="AA112" s="52"/>
    </row>
    <row r="113" spans="1:27" s="78" customFormat="1" x14ac:dyDescent="0.2">
      <c r="A113" s="109"/>
      <c r="B113" s="118"/>
      <c r="C113" s="84" t="s">
        <v>55</v>
      </c>
      <c r="D113" s="84"/>
      <c r="E113" s="84"/>
      <c r="F113" s="84"/>
      <c r="G113" s="84"/>
      <c r="H113" s="84"/>
      <c r="I113" s="84"/>
      <c r="J113" s="84"/>
      <c r="K113" s="84"/>
      <c r="L113" s="84"/>
      <c r="M113" s="84"/>
      <c r="N113" s="84"/>
      <c r="O113" s="84"/>
      <c r="P113" s="84"/>
      <c r="Q113" s="84"/>
      <c r="R113" s="84"/>
      <c r="S113" s="84"/>
      <c r="T113" s="84"/>
      <c r="U113" s="84"/>
      <c r="V113" s="84"/>
      <c r="W113" s="84"/>
      <c r="X113" s="84"/>
      <c r="Y113" s="84"/>
      <c r="Z113" s="84"/>
      <c r="AA113" s="52"/>
    </row>
    <row r="114" spans="1:27" s="78" customFormat="1" x14ac:dyDescent="0.2">
      <c r="A114" s="109"/>
      <c r="B114" s="118"/>
      <c r="C114" s="84" t="s">
        <v>9</v>
      </c>
      <c r="D114" s="84"/>
      <c r="E114" s="84"/>
      <c r="F114" s="84"/>
      <c r="G114" s="84"/>
      <c r="H114" s="84"/>
      <c r="I114" s="84"/>
      <c r="J114" s="84"/>
      <c r="K114" s="84"/>
      <c r="L114" s="84"/>
      <c r="M114" s="84"/>
      <c r="N114" s="84"/>
      <c r="O114" s="84"/>
      <c r="P114" s="84"/>
      <c r="Q114" s="84"/>
      <c r="R114" s="84"/>
      <c r="S114" s="84"/>
      <c r="T114" s="84"/>
      <c r="U114" s="84"/>
      <c r="V114" s="84"/>
      <c r="W114" s="84"/>
      <c r="X114" s="84"/>
      <c r="Y114" s="84"/>
      <c r="Z114" s="84"/>
      <c r="AA114" s="52"/>
    </row>
    <row r="115" spans="1:27" s="78" customFormat="1" x14ac:dyDescent="0.2">
      <c r="A115" s="109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</row>
    <row r="116" spans="1:27" s="78" customFormat="1" x14ac:dyDescent="0.2">
      <c r="A116" s="109"/>
      <c r="B116" s="83"/>
      <c r="C116" s="7"/>
      <c r="D116" s="81" t="s">
        <v>47</v>
      </c>
      <c r="E116" s="81" t="s">
        <v>48</v>
      </c>
      <c r="F116" s="81" t="s">
        <v>49</v>
      </c>
      <c r="G116" s="81" t="s">
        <v>50</v>
      </c>
      <c r="H116" s="81" t="s">
        <v>51</v>
      </c>
      <c r="I116" s="81" t="s">
        <v>52</v>
      </c>
      <c r="J116" s="81" t="s">
        <v>53</v>
      </c>
      <c r="K116" s="29">
        <v>0.01</v>
      </c>
      <c r="L116" s="29">
        <v>0.05</v>
      </c>
      <c r="M116" s="29">
        <v>0.1</v>
      </c>
      <c r="N116" s="29">
        <v>0.2</v>
      </c>
      <c r="O116" s="30">
        <v>0.3</v>
      </c>
      <c r="P116" s="30">
        <v>0.4</v>
      </c>
      <c r="Q116" s="30">
        <v>0.5</v>
      </c>
      <c r="R116" s="30">
        <v>0.6</v>
      </c>
      <c r="S116" s="30">
        <v>0.7</v>
      </c>
      <c r="T116" s="30">
        <v>0.8</v>
      </c>
      <c r="U116" s="30">
        <v>0.9</v>
      </c>
      <c r="V116" s="30">
        <v>0.95</v>
      </c>
      <c r="W116" s="30">
        <v>0.99</v>
      </c>
      <c r="X116" s="29">
        <v>0.995</v>
      </c>
      <c r="Y116" s="29">
        <v>0.999</v>
      </c>
      <c r="Z116" s="29">
        <v>0.99950000000000006</v>
      </c>
      <c r="AA116" s="31">
        <v>0.99990000000000001</v>
      </c>
    </row>
    <row r="117" spans="1:27" s="78" customFormat="1" x14ac:dyDescent="0.2">
      <c r="A117" s="109"/>
      <c r="B117" s="118" t="s">
        <v>743</v>
      </c>
      <c r="C117" s="84" t="s">
        <v>54</v>
      </c>
      <c r="D117" s="84">
        <v>2690</v>
      </c>
      <c r="E117" s="84">
        <v>84.1</v>
      </c>
      <c r="F117" s="84"/>
      <c r="G117" s="84"/>
      <c r="H117" s="84"/>
      <c r="I117" s="84"/>
      <c r="J117" s="84"/>
      <c r="K117" s="84"/>
      <c r="L117" s="84"/>
      <c r="M117" s="84"/>
      <c r="N117" s="84"/>
      <c r="O117" s="84"/>
      <c r="P117" s="84"/>
      <c r="Q117" s="84"/>
      <c r="R117" s="84"/>
      <c r="S117" s="84"/>
      <c r="T117" s="84"/>
      <c r="U117" s="84"/>
      <c r="V117" s="84"/>
      <c r="W117" s="84"/>
      <c r="X117" s="84"/>
      <c r="Y117" s="84"/>
      <c r="Z117" s="84"/>
      <c r="AA117" s="52"/>
    </row>
    <row r="118" spans="1:27" s="78" customFormat="1" x14ac:dyDescent="0.2">
      <c r="A118" s="109"/>
      <c r="B118" s="118"/>
      <c r="C118" s="84" t="s">
        <v>57</v>
      </c>
      <c r="D118" s="84"/>
      <c r="E118" s="84"/>
      <c r="F118" s="84"/>
      <c r="G118" s="84"/>
      <c r="H118" s="84"/>
      <c r="I118" s="84"/>
      <c r="J118" s="84"/>
      <c r="K118" s="84"/>
      <c r="L118" s="84"/>
      <c r="M118" s="84"/>
      <c r="N118" s="84"/>
      <c r="O118" s="84"/>
      <c r="P118" s="84"/>
      <c r="Q118" s="84"/>
      <c r="R118" s="84"/>
      <c r="S118" s="84"/>
      <c r="T118" s="84"/>
      <c r="U118" s="84"/>
      <c r="V118" s="84"/>
      <c r="W118" s="84"/>
      <c r="X118" s="84"/>
      <c r="Y118" s="84"/>
      <c r="Z118" s="84"/>
      <c r="AA118" s="52"/>
    </row>
    <row r="119" spans="1:27" s="78" customFormat="1" x14ac:dyDescent="0.2">
      <c r="A119" s="109"/>
      <c r="B119" s="118"/>
      <c r="C119" s="84" t="s">
        <v>56</v>
      </c>
      <c r="D119" s="84"/>
      <c r="E119" s="84"/>
      <c r="F119" s="84"/>
      <c r="G119" s="84"/>
      <c r="H119" s="84"/>
      <c r="I119" s="84"/>
      <c r="J119" s="84"/>
      <c r="K119" s="84"/>
      <c r="L119" s="84"/>
      <c r="M119" s="84"/>
      <c r="N119" s="84"/>
      <c r="O119" s="84"/>
      <c r="P119" s="84"/>
      <c r="Q119" s="84"/>
      <c r="R119" s="84"/>
      <c r="S119" s="84"/>
      <c r="T119" s="84"/>
      <c r="U119" s="84"/>
      <c r="V119" s="84"/>
      <c r="W119" s="84"/>
      <c r="X119" s="84"/>
      <c r="Y119" s="84"/>
      <c r="Z119" s="84"/>
      <c r="AA119" s="52"/>
    </row>
    <row r="120" spans="1:27" s="78" customFormat="1" x14ac:dyDescent="0.2">
      <c r="A120" s="109"/>
      <c r="B120" s="118"/>
      <c r="C120" s="84" t="s">
        <v>55</v>
      </c>
      <c r="D120" s="84"/>
      <c r="E120" s="84"/>
      <c r="F120" s="84"/>
      <c r="G120" s="84"/>
      <c r="H120" s="84"/>
      <c r="I120" s="84"/>
      <c r="J120" s="84"/>
      <c r="K120" s="84"/>
      <c r="L120" s="84"/>
      <c r="M120" s="84"/>
      <c r="N120" s="84"/>
      <c r="O120" s="84"/>
      <c r="P120" s="84"/>
      <c r="Q120" s="84"/>
      <c r="R120" s="84"/>
      <c r="S120" s="84"/>
      <c r="T120" s="84"/>
      <c r="U120" s="84"/>
      <c r="V120" s="84"/>
      <c r="W120" s="84"/>
      <c r="X120" s="84"/>
      <c r="Y120" s="84"/>
      <c r="Z120" s="84"/>
      <c r="AA120" s="52"/>
    </row>
    <row r="121" spans="1:27" s="19" customFormat="1" x14ac:dyDescent="0.2">
      <c r="A121" s="109"/>
      <c r="B121" s="118"/>
      <c r="C121" s="84" t="s">
        <v>9</v>
      </c>
      <c r="D121" s="84"/>
      <c r="E121" s="84"/>
      <c r="F121" s="84"/>
      <c r="G121" s="84"/>
      <c r="H121" s="84"/>
      <c r="I121" s="84"/>
      <c r="J121" s="84"/>
      <c r="K121" s="84"/>
      <c r="L121" s="84"/>
      <c r="M121" s="84"/>
      <c r="N121" s="84"/>
      <c r="O121" s="84"/>
      <c r="P121" s="84"/>
      <c r="Q121" s="84"/>
      <c r="R121" s="84"/>
      <c r="S121" s="84"/>
      <c r="T121" s="84"/>
      <c r="U121" s="84"/>
      <c r="V121" s="84"/>
      <c r="W121" s="84"/>
      <c r="X121" s="84"/>
      <c r="Y121" s="84"/>
      <c r="Z121" s="84"/>
      <c r="AA121" s="52"/>
    </row>
    <row r="122" spans="1:27" s="19" customFormat="1" x14ac:dyDescent="0.2">
      <c r="A122" s="109"/>
      <c r="B122" s="7"/>
    </row>
    <row r="123" spans="1:27" s="19" customFormat="1" x14ac:dyDescent="0.2">
      <c r="A123" s="109"/>
      <c r="C123" s="7"/>
      <c r="D123" s="81" t="s">
        <v>47</v>
      </c>
      <c r="E123" s="81" t="s">
        <v>48</v>
      </c>
      <c r="F123" s="81" t="s">
        <v>49</v>
      </c>
      <c r="G123" s="81" t="s">
        <v>50</v>
      </c>
      <c r="H123" s="81" t="s">
        <v>51</v>
      </c>
      <c r="I123" s="81" t="s">
        <v>52</v>
      </c>
      <c r="J123" s="81" t="s">
        <v>53</v>
      </c>
      <c r="K123" s="29">
        <v>0.01</v>
      </c>
      <c r="L123" s="29">
        <v>0.05</v>
      </c>
      <c r="M123" s="29">
        <v>0.1</v>
      </c>
      <c r="N123" s="29">
        <v>0.2</v>
      </c>
      <c r="O123" s="30">
        <v>0.3</v>
      </c>
      <c r="P123" s="30">
        <v>0.4</v>
      </c>
      <c r="Q123" s="30">
        <v>0.5</v>
      </c>
      <c r="R123" s="30">
        <v>0.6</v>
      </c>
      <c r="S123" s="30">
        <v>0.7</v>
      </c>
      <c r="T123" s="30">
        <v>0.8</v>
      </c>
      <c r="U123" s="30">
        <v>0.9</v>
      </c>
      <c r="V123" s="30">
        <v>0.95</v>
      </c>
      <c r="W123" s="30">
        <v>0.99</v>
      </c>
      <c r="X123" s="29">
        <v>0.995</v>
      </c>
      <c r="Y123" s="29">
        <v>0.999</v>
      </c>
      <c r="Z123" s="29">
        <v>0.99950000000000006</v>
      </c>
      <c r="AA123" s="29">
        <v>0.99990000000000001</v>
      </c>
    </row>
    <row r="124" spans="1:27" s="19" customFormat="1" x14ac:dyDescent="0.2">
      <c r="A124" s="109"/>
      <c r="B124" s="117" t="s">
        <v>420</v>
      </c>
      <c r="C124" s="27" t="s">
        <v>54</v>
      </c>
      <c r="D124" s="27">
        <v>28.2</v>
      </c>
      <c r="E124" s="27">
        <v>883</v>
      </c>
      <c r="F124" s="27">
        <v>926</v>
      </c>
      <c r="G124" s="27" t="s">
        <v>82</v>
      </c>
      <c r="H124" s="27" t="s">
        <v>83</v>
      </c>
      <c r="I124" s="27" t="s">
        <v>84</v>
      </c>
      <c r="J124" s="27" t="s">
        <v>85</v>
      </c>
      <c r="K124" s="27" t="s">
        <v>68</v>
      </c>
      <c r="L124" s="27" t="s">
        <v>86</v>
      </c>
      <c r="M124" s="27" t="s">
        <v>86</v>
      </c>
      <c r="N124" s="27" t="s">
        <v>87</v>
      </c>
      <c r="O124" s="27" t="s">
        <v>87</v>
      </c>
      <c r="P124" s="27" t="s">
        <v>88</v>
      </c>
      <c r="Q124" s="27" t="s">
        <v>89</v>
      </c>
      <c r="R124" s="27" t="s">
        <v>242</v>
      </c>
      <c r="S124" s="27" t="s">
        <v>243</v>
      </c>
      <c r="T124" s="27" t="s">
        <v>252</v>
      </c>
      <c r="U124" s="27" t="s">
        <v>254</v>
      </c>
      <c r="V124" s="27" t="s">
        <v>75</v>
      </c>
      <c r="W124" s="27" t="s">
        <v>108</v>
      </c>
      <c r="X124" s="27" t="s">
        <v>111</v>
      </c>
      <c r="Y124" s="27" t="s">
        <v>168</v>
      </c>
      <c r="Z124" s="27" t="s">
        <v>227</v>
      </c>
      <c r="AA124" s="27" t="s">
        <v>425</v>
      </c>
    </row>
    <row r="125" spans="1:27" s="19" customFormat="1" x14ac:dyDescent="0.2">
      <c r="A125" s="109"/>
      <c r="B125" s="117"/>
      <c r="C125" s="27" t="s">
        <v>57</v>
      </c>
      <c r="D125" s="27"/>
      <c r="E125" s="27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  <c r="AA125" s="27"/>
    </row>
    <row r="126" spans="1:27" s="19" customFormat="1" x14ac:dyDescent="0.2">
      <c r="A126" s="109"/>
      <c r="B126" s="117"/>
      <c r="C126" s="27" t="s">
        <v>56</v>
      </c>
      <c r="D126" s="27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  <c r="AA126" s="27"/>
    </row>
    <row r="127" spans="1:27" s="19" customFormat="1" x14ac:dyDescent="0.2">
      <c r="A127" s="109"/>
      <c r="B127" s="117"/>
      <c r="C127" s="27" t="s">
        <v>55</v>
      </c>
      <c r="D127" s="27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  <c r="AA127" s="27"/>
    </row>
    <row r="128" spans="1:27" s="19" customFormat="1" x14ac:dyDescent="0.2">
      <c r="A128" s="109"/>
      <c r="B128" s="117"/>
      <c r="C128" s="27" t="s">
        <v>9</v>
      </c>
      <c r="D128" s="27"/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  <c r="AA128" s="27"/>
    </row>
    <row r="129" spans="1:27" s="19" customFormat="1" x14ac:dyDescent="0.2">
      <c r="A129" s="109"/>
      <c r="B129" s="88"/>
    </row>
    <row r="130" spans="1:27" s="78" customFormat="1" x14ac:dyDescent="0.2">
      <c r="A130" s="109"/>
      <c r="C130" s="7"/>
      <c r="D130" s="81" t="s">
        <v>47</v>
      </c>
      <c r="E130" s="81" t="s">
        <v>48</v>
      </c>
      <c r="F130" s="81" t="s">
        <v>49</v>
      </c>
      <c r="G130" s="81" t="s">
        <v>50</v>
      </c>
      <c r="H130" s="81" t="s">
        <v>51</v>
      </c>
      <c r="I130" s="81" t="s">
        <v>52</v>
      </c>
      <c r="J130" s="81" t="s">
        <v>53</v>
      </c>
      <c r="K130" s="29">
        <v>0.01</v>
      </c>
      <c r="L130" s="29">
        <v>0.05</v>
      </c>
      <c r="M130" s="29">
        <v>0.1</v>
      </c>
      <c r="N130" s="29">
        <v>0.2</v>
      </c>
      <c r="O130" s="30">
        <v>0.3</v>
      </c>
      <c r="P130" s="30">
        <v>0.4</v>
      </c>
      <c r="Q130" s="30">
        <v>0.5</v>
      </c>
      <c r="R130" s="30">
        <v>0.6</v>
      </c>
      <c r="S130" s="30">
        <v>0.7</v>
      </c>
      <c r="T130" s="30">
        <v>0.8</v>
      </c>
      <c r="U130" s="30">
        <v>0.9</v>
      </c>
      <c r="V130" s="30">
        <v>0.95</v>
      </c>
      <c r="W130" s="30">
        <v>0.99</v>
      </c>
      <c r="X130" s="29">
        <v>0.995</v>
      </c>
      <c r="Y130" s="29">
        <v>0.999</v>
      </c>
      <c r="Z130" s="29">
        <v>0.99950000000000006</v>
      </c>
      <c r="AA130" s="29">
        <v>0.99990000000000001</v>
      </c>
    </row>
    <row r="131" spans="1:27" s="78" customFormat="1" x14ac:dyDescent="0.2">
      <c r="A131" s="109"/>
      <c r="B131" s="117" t="s">
        <v>421</v>
      </c>
      <c r="C131" s="84" t="s">
        <v>54</v>
      </c>
      <c r="D131" s="84">
        <v>37.4</v>
      </c>
      <c r="E131" s="84" t="s">
        <v>598</v>
      </c>
      <c r="F131" s="84" t="s">
        <v>599</v>
      </c>
      <c r="G131" s="84" t="s">
        <v>452</v>
      </c>
      <c r="H131" s="84" t="s">
        <v>600</v>
      </c>
      <c r="I131" s="84" t="s">
        <v>601</v>
      </c>
      <c r="J131" s="84"/>
      <c r="K131" s="84" t="s">
        <v>95</v>
      </c>
      <c r="L131" s="84" t="s">
        <v>95</v>
      </c>
      <c r="M131" s="84" t="s">
        <v>251</v>
      </c>
      <c r="N131" s="84" t="s">
        <v>251</v>
      </c>
      <c r="O131" s="84" t="s">
        <v>96</v>
      </c>
      <c r="P131" s="84" t="s">
        <v>96</v>
      </c>
      <c r="Q131" s="84" t="s">
        <v>97</v>
      </c>
      <c r="R131" s="84" t="s">
        <v>82</v>
      </c>
      <c r="S131" s="84" t="s">
        <v>68</v>
      </c>
      <c r="T131" s="84" t="s">
        <v>86</v>
      </c>
      <c r="U131" s="84" t="s">
        <v>87</v>
      </c>
      <c r="V131" s="84" t="s">
        <v>244</v>
      </c>
      <c r="W131" s="84" t="s">
        <v>74</v>
      </c>
      <c r="X131" s="84" t="s">
        <v>233</v>
      </c>
      <c r="Y131" s="84" t="s">
        <v>110</v>
      </c>
      <c r="Z131" s="84" t="s">
        <v>207</v>
      </c>
      <c r="AA131" s="84" t="s">
        <v>425</v>
      </c>
    </row>
    <row r="132" spans="1:27" s="78" customFormat="1" x14ac:dyDescent="0.2">
      <c r="A132" s="109"/>
      <c r="B132" s="117"/>
      <c r="C132" s="84" t="s">
        <v>57</v>
      </c>
      <c r="D132" s="84"/>
      <c r="E132" s="84"/>
      <c r="F132" s="84"/>
      <c r="G132" s="84"/>
      <c r="H132" s="84"/>
      <c r="I132" s="84"/>
      <c r="J132" s="84"/>
      <c r="K132" s="84"/>
      <c r="L132" s="84"/>
      <c r="M132" s="84"/>
      <c r="N132" s="84"/>
      <c r="O132" s="84"/>
      <c r="P132" s="84"/>
      <c r="Q132" s="84"/>
      <c r="R132" s="84"/>
      <c r="S132" s="84"/>
      <c r="T132" s="84"/>
      <c r="U132" s="84"/>
      <c r="V132" s="84"/>
      <c r="W132" s="84"/>
      <c r="X132" s="84"/>
      <c r="Y132" s="84"/>
      <c r="Z132" s="84"/>
      <c r="AA132" s="84"/>
    </row>
    <row r="133" spans="1:27" s="78" customFormat="1" x14ac:dyDescent="0.2">
      <c r="A133" s="109"/>
      <c r="B133" s="117"/>
      <c r="C133" s="84" t="s">
        <v>56</v>
      </c>
      <c r="D133" s="84"/>
      <c r="E133" s="84"/>
      <c r="F133" s="84"/>
      <c r="G133" s="84"/>
      <c r="H133" s="84"/>
      <c r="I133" s="84"/>
      <c r="J133" s="84"/>
      <c r="K133" s="84"/>
      <c r="L133" s="84"/>
      <c r="M133" s="84"/>
      <c r="N133" s="84"/>
      <c r="O133" s="84"/>
      <c r="P133" s="84"/>
      <c r="Q133" s="84"/>
      <c r="R133" s="84"/>
      <c r="S133" s="84"/>
      <c r="T133" s="84"/>
      <c r="U133" s="84"/>
      <c r="V133" s="84"/>
      <c r="W133" s="84"/>
      <c r="X133" s="84"/>
      <c r="Y133" s="84"/>
      <c r="Z133" s="84"/>
      <c r="AA133" s="84"/>
    </row>
    <row r="134" spans="1:27" s="78" customFormat="1" x14ac:dyDescent="0.2">
      <c r="A134" s="109"/>
      <c r="B134" s="117"/>
      <c r="C134" s="84" t="s">
        <v>55</v>
      </c>
      <c r="D134" s="84"/>
      <c r="E134" s="84"/>
      <c r="F134" s="84"/>
      <c r="G134" s="84"/>
      <c r="H134" s="84"/>
      <c r="I134" s="84"/>
      <c r="J134" s="84"/>
      <c r="K134" s="84"/>
      <c r="L134" s="84"/>
      <c r="M134" s="84"/>
      <c r="N134" s="84"/>
      <c r="O134" s="84"/>
      <c r="P134" s="84"/>
      <c r="Q134" s="84"/>
      <c r="R134" s="84"/>
      <c r="S134" s="84"/>
      <c r="T134" s="84"/>
      <c r="U134" s="84"/>
      <c r="V134" s="84"/>
      <c r="W134" s="84"/>
      <c r="X134" s="84"/>
      <c r="Y134" s="84"/>
      <c r="Z134" s="84"/>
      <c r="AA134" s="84"/>
    </row>
    <row r="135" spans="1:27" s="78" customFormat="1" x14ac:dyDescent="0.2">
      <c r="A135" s="109"/>
      <c r="B135" s="117"/>
      <c r="C135" s="84" t="s">
        <v>9</v>
      </c>
      <c r="D135" s="84"/>
      <c r="E135" s="84"/>
      <c r="F135" s="84"/>
      <c r="G135" s="84"/>
      <c r="H135" s="84"/>
      <c r="I135" s="84"/>
      <c r="J135" s="84"/>
      <c r="K135" s="84"/>
      <c r="L135" s="84"/>
      <c r="M135" s="84"/>
      <c r="N135" s="84"/>
      <c r="O135" s="84"/>
      <c r="P135" s="84"/>
      <c r="Q135" s="84"/>
      <c r="R135" s="84"/>
      <c r="S135" s="84"/>
      <c r="T135" s="84"/>
      <c r="U135" s="84"/>
      <c r="V135" s="84"/>
      <c r="W135" s="84"/>
      <c r="X135" s="84"/>
      <c r="Y135" s="84"/>
      <c r="Z135" s="84"/>
      <c r="AA135" s="84"/>
    </row>
    <row r="136" spans="1:27" s="78" customFormat="1" x14ac:dyDescent="0.2">
      <c r="A136" s="109"/>
      <c r="B136" s="88"/>
    </row>
    <row r="137" spans="1:27" s="78" customFormat="1" x14ac:dyDescent="0.2">
      <c r="A137" s="109"/>
      <c r="C137" s="7"/>
      <c r="D137" s="81" t="s">
        <v>47</v>
      </c>
      <c r="E137" s="81" t="s">
        <v>48</v>
      </c>
      <c r="F137" s="81" t="s">
        <v>49</v>
      </c>
      <c r="G137" s="81" t="s">
        <v>50</v>
      </c>
      <c r="H137" s="81" t="s">
        <v>51</v>
      </c>
      <c r="I137" s="81" t="s">
        <v>52</v>
      </c>
      <c r="J137" s="81" t="s">
        <v>53</v>
      </c>
      <c r="K137" s="29">
        <v>0.01</v>
      </c>
      <c r="L137" s="29">
        <v>0.05</v>
      </c>
      <c r="M137" s="29">
        <v>0.1</v>
      </c>
      <c r="N137" s="29">
        <v>0.2</v>
      </c>
      <c r="O137" s="30">
        <v>0.3</v>
      </c>
      <c r="P137" s="30">
        <v>0.4</v>
      </c>
      <c r="Q137" s="30">
        <v>0.5</v>
      </c>
      <c r="R137" s="30">
        <v>0.6</v>
      </c>
      <c r="S137" s="30">
        <v>0.7</v>
      </c>
      <c r="T137" s="30">
        <v>0.8</v>
      </c>
      <c r="U137" s="30">
        <v>0.9</v>
      </c>
      <c r="V137" s="30">
        <v>0.95</v>
      </c>
      <c r="W137" s="30">
        <v>0.99</v>
      </c>
      <c r="X137" s="29">
        <v>0.995</v>
      </c>
      <c r="Y137" s="29">
        <v>0.999</v>
      </c>
      <c r="Z137" s="29">
        <v>0.99950000000000006</v>
      </c>
      <c r="AA137" s="29">
        <v>0.99990000000000001</v>
      </c>
    </row>
    <row r="138" spans="1:27" s="78" customFormat="1" x14ac:dyDescent="0.2">
      <c r="A138" s="109"/>
      <c r="B138" s="117" t="s">
        <v>422</v>
      </c>
      <c r="C138" s="84" t="s">
        <v>54</v>
      </c>
      <c r="D138" s="84">
        <v>39.9</v>
      </c>
      <c r="E138" s="84" t="s">
        <v>602</v>
      </c>
      <c r="F138" s="84" t="s">
        <v>603</v>
      </c>
      <c r="G138" s="84" t="s">
        <v>265</v>
      </c>
      <c r="H138" s="84" t="s">
        <v>604</v>
      </c>
      <c r="I138" s="84" t="s">
        <v>605</v>
      </c>
      <c r="J138" s="84" t="s">
        <v>606</v>
      </c>
      <c r="K138" s="84" t="s">
        <v>251</v>
      </c>
      <c r="L138" s="84" t="s">
        <v>98</v>
      </c>
      <c r="M138" s="84" t="s">
        <v>241</v>
      </c>
      <c r="N138" s="84" t="s">
        <v>68</v>
      </c>
      <c r="O138" s="84" t="s">
        <v>87</v>
      </c>
      <c r="P138" s="84" t="s">
        <v>89</v>
      </c>
      <c r="Q138" s="84" t="s">
        <v>244</v>
      </c>
      <c r="R138" s="84" t="s">
        <v>456</v>
      </c>
      <c r="S138" s="84" t="s">
        <v>72</v>
      </c>
      <c r="T138" s="84" t="s">
        <v>73</v>
      </c>
      <c r="U138" s="84" t="s">
        <v>177</v>
      </c>
      <c r="V138" s="84" t="s">
        <v>76</v>
      </c>
      <c r="W138" s="84" t="s">
        <v>194</v>
      </c>
      <c r="X138" s="84" t="s">
        <v>147</v>
      </c>
      <c r="Y138" s="84" t="s">
        <v>124</v>
      </c>
      <c r="Z138" s="84" t="s">
        <v>237</v>
      </c>
      <c r="AA138" s="84" t="s">
        <v>498</v>
      </c>
    </row>
    <row r="139" spans="1:27" s="78" customFormat="1" x14ac:dyDescent="0.2">
      <c r="A139" s="109"/>
      <c r="B139" s="117"/>
      <c r="C139" s="84" t="s">
        <v>57</v>
      </c>
      <c r="D139" s="84"/>
      <c r="E139" s="84"/>
      <c r="F139" s="84"/>
      <c r="G139" s="84"/>
      <c r="H139" s="84"/>
      <c r="I139" s="84"/>
      <c r="J139" s="84"/>
      <c r="K139" s="84"/>
      <c r="L139" s="84"/>
      <c r="M139" s="84"/>
      <c r="N139" s="84"/>
      <c r="O139" s="84"/>
      <c r="P139" s="84"/>
      <c r="Q139" s="84"/>
      <c r="R139" s="84"/>
      <c r="S139" s="84"/>
      <c r="T139" s="84"/>
      <c r="U139" s="84"/>
      <c r="V139" s="84"/>
      <c r="W139" s="84"/>
      <c r="X139" s="84"/>
      <c r="Y139" s="84"/>
      <c r="Z139" s="84"/>
      <c r="AA139" s="84"/>
    </row>
    <row r="140" spans="1:27" s="78" customFormat="1" x14ac:dyDescent="0.2">
      <c r="A140" s="109"/>
      <c r="B140" s="117"/>
      <c r="C140" s="84" t="s">
        <v>56</v>
      </c>
      <c r="D140" s="84"/>
      <c r="E140" s="84"/>
      <c r="F140" s="84"/>
      <c r="G140" s="84"/>
      <c r="H140" s="84"/>
      <c r="I140" s="84"/>
      <c r="J140" s="84"/>
      <c r="K140" s="84"/>
      <c r="L140" s="84"/>
      <c r="M140" s="84"/>
      <c r="N140" s="84"/>
      <c r="O140" s="84"/>
      <c r="P140" s="84"/>
      <c r="Q140" s="84"/>
      <c r="R140" s="84"/>
      <c r="S140" s="84"/>
      <c r="T140" s="84"/>
      <c r="U140" s="84"/>
      <c r="V140" s="84"/>
      <c r="W140" s="84"/>
      <c r="X140" s="84"/>
      <c r="Y140" s="84"/>
      <c r="Z140" s="84"/>
      <c r="AA140" s="84"/>
    </row>
    <row r="141" spans="1:27" s="78" customFormat="1" x14ac:dyDescent="0.2">
      <c r="A141" s="109"/>
      <c r="B141" s="117"/>
      <c r="C141" s="84" t="s">
        <v>55</v>
      </c>
      <c r="D141" s="84"/>
      <c r="E141" s="84"/>
      <c r="F141" s="84"/>
      <c r="G141" s="84"/>
      <c r="H141" s="84"/>
      <c r="I141" s="84"/>
      <c r="J141" s="84"/>
      <c r="K141" s="84"/>
      <c r="L141" s="84"/>
      <c r="M141" s="84"/>
      <c r="N141" s="84"/>
      <c r="O141" s="84"/>
      <c r="P141" s="84"/>
      <c r="Q141" s="84"/>
      <c r="R141" s="84"/>
      <c r="S141" s="84"/>
      <c r="T141" s="84"/>
      <c r="U141" s="84"/>
      <c r="V141" s="84"/>
      <c r="W141" s="84"/>
      <c r="X141" s="84"/>
      <c r="Y141" s="84"/>
      <c r="Z141" s="84"/>
      <c r="AA141" s="84"/>
    </row>
    <row r="142" spans="1:27" s="78" customFormat="1" x14ac:dyDescent="0.2">
      <c r="A142" s="109"/>
      <c r="B142" s="117"/>
      <c r="C142" s="84" t="s">
        <v>9</v>
      </c>
      <c r="D142" s="84"/>
      <c r="E142" s="84"/>
      <c r="F142" s="84"/>
      <c r="G142" s="84"/>
      <c r="H142" s="84"/>
      <c r="I142" s="84"/>
      <c r="J142" s="84"/>
      <c r="K142" s="84"/>
      <c r="L142" s="84"/>
      <c r="M142" s="84"/>
      <c r="N142" s="84"/>
      <c r="O142" s="84"/>
      <c r="P142" s="84"/>
      <c r="Q142" s="84"/>
      <c r="R142" s="84"/>
      <c r="S142" s="84"/>
      <c r="T142" s="84"/>
      <c r="U142" s="84"/>
      <c r="V142" s="84"/>
      <c r="W142" s="84"/>
      <c r="X142" s="84"/>
      <c r="Y142" s="84"/>
      <c r="Z142" s="84"/>
      <c r="AA142" s="84"/>
    </row>
    <row r="143" spans="1:27" s="78" customFormat="1" x14ac:dyDescent="0.2">
      <c r="A143" s="109"/>
      <c r="B143" s="88"/>
    </row>
    <row r="144" spans="1:27" s="78" customFormat="1" x14ac:dyDescent="0.2">
      <c r="A144" s="109"/>
      <c r="C144" s="7"/>
      <c r="D144" s="81" t="s">
        <v>47</v>
      </c>
      <c r="E144" s="81" t="s">
        <v>48</v>
      </c>
      <c r="F144" s="81" t="s">
        <v>49</v>
      </c>
      <c r="G144" s="81" t="s">
        <v>50</v>
      </c>
      <c r="H144" s="81" t="s">
        <v>51</v>
      </c>
      <c r="I144" s="81" t="s">
        <v>52</v>
      </c>
      <c r="J144" s="81" t="s">
        <v>53</v>
      </c>
      <c r="K144" s="29">
        <v>0.01</v>
      </c>
      <c r="L144" s="29">
        <v>0.05</v>
      </c>
      <c r="M144" s="29">
        <v>0.1</v>
      </c>
      <c r="N144" s="29">
        <v>0.2</v>
      </c>
      <c r="O144" s="30">
        <v>0.3</v>
      </c>
      <c r="P144" s="30">
        <v>0.4</v>
      </c>
      <c r="Q144" s="30">
        <v>0.5</v>
      </c>
      <c r="R144" s="30">
        <v>0.6</v>
      </c>
      <c r="S144" s="30">
        <v>0.7</v>
      </c>
      <c r="T144" s="30">
        <v>0.8</v>
      </c>
      <c r="U144" s="30">
        <v>0.9</v>
      </c>
      <c r="V144" s="30">
        <v>0.95</v>
      </c>
      <c r="W144" s="30">
        <v>0.99</v>
      </c>
      <c r="X144" s="29">
        <v>0.995</v>
      </c>
      <c r="Y144" s="29">
        <v>0.999</v>
      </c>
      <c r="Z144" s="29">
        <v>0.99950000000000006</v>
      </c>
      <c r="AA144" s="29">
        <v>0.99990000000000001</v>
      </c>
    </row>
    <row r="145" spans="1:28" s="78" customFormat="1" x14ac:dyDescent="0.2">
      <c r="A145" s="109"/>
      <c r="B145" s="117" t="s">
        <v>423</v>
      </c>
      <c r="C145" s="84" t="s">
        <v>54</v>
      </c>
      <c r="D145" s="84">
        <v>45.3</v>
      </c>
      <c r="E145" s="84" t="s">
        <v>607</v>
      </c>
      <c r="F145" s="84" t="s">
        <v>608</v>
      </c>
      <c r="G145" s="84" t="s">
        <v>93</v>
      </c>
      <c r="H145" s="84" t="s">
        <v>609</v>
      </c>
      <c r="I145" s="84" t="s">
        <v>610</v>
      </c>
      <c r="J145" s="84"/>
      <c r="K145" s="84" t="s">
        <v>251</v>
      </c>
      <c r="L145" s="84" t="s">
        <v>98</v>
      </c>
      <c r="M145" s="84" t="s">
        <v>241</v>
      </c>
      <c r="N145" s="84" t="s">
        <v>81</v>
      </c>
      <c r="O145" s="84" t="s">
        <v>68</v>
      </c>
      <c r="P145" s="84" t="s">
        <v>87</v>
      </c>
      <c r="Q145" s="84" t="s">
        <v>89</v>
      </c>
      <c r="R145" s="84" t="s">
        <v>242</v>
      </c>
      <c r="S145" s="84" t="s">
        <v>243</v>
      </c>
      <c r="T145" s="84" t="s">
        <v>244</v>
      </c>
      <c r="U145" s="84" t="s">
        <v>456</v>
      </c>
      <c r="V145" s="84" t="s">
        <v>73</v>
      </c>
      <c r="W145" s="84" t="s">
        <v>193</v>
      </c>
      <c r="X145" s="84" t="s">
        <v>110</v>
      </c>
      <c r="Y145" s="84" t="s">
        <v>148</v>
      </c>
      <c r="Z145" s="84" t="s">
        <v>217</v>
      </c>
      <c r="AA145" s="84" t="s">
        <v>409</v>
      </c>
    </row>
    <row r="146" spans="1:28" s="78" customFormat="1" x14ac:dyDescent="0.2">
      <c r="A146" s="109"/>
      <c r="B146" s="117"/>
      <c r="C146" s="84" t="s">
        <v>57</v>
      </c>
      <c r="D146" s="84"/>
      <c r="E146" s="84"/>
      <c r="F146" s="84"/>
      <c r="G146" s="84"/>
      <c r="H146" s="84"/>
      <c r="I146" s="84"/>
      <c r="J146" s="84"/>
      <c r="K146" s="84"/>
      <c r="L146" s="84"/>
      <c r="M146" s="84"/>
      <c r="N146" s="84"/>
      <c r="O146" s="84"/>
      <c r="P146" s="84"/>
      <c r="Q146" s="84"/>
      <c r="R146" s="84"/>
      <c r="S146" s="84"/>
      <c r="T146" s="84"/>
      <c r="U146" s="84"/>
      <c r="V146" s="84"/>
      <c r="W146" s="84"/>
      <c r="X146" s="84"/>
      <c r="Y146" s="84"/>
      <c r="Z146" s="84"/>
      <c r="AA146" s="84"/>
    </row>
    <row r="147" spans="1:28" s="78" customFormat="1" x14ac:dyDescent="0.2">
      <c r="A147" s="109"/>
      <c r="B147" s="117"/>
      <c r="C147" s="84" t="s">
        <v>56</v>
      </c>
      <c r="D147" s="84"/>
      <c r="E147" s="84"/>
      <c r="F147" s="84"/>
      <c r="G147" s="84"/>
      <c r="H147" s="84"/>
      <c r="I147" s="84"/>
      <c r="J147" s="84"/>
      <c r="K147" s="84"/>
      <c r="L147" s="84"/>
      <c r="M147" s="84"/>
      <c r="N147" s="84"/>
      <c r="O147" s="84"/>
      <c r="P147" s="84"/>
      <c r="Q147" s="84"/>
      <c r="R147" s="84"/>
      <c r="S147" s="84"/>
      <c r="T147" s="84"/>
      <c r="U147" s="84"/>
      <c r="V147" s="84"/>
      <c r="W147" s="84"/>
      <c r="X147" s="84"/>
      <c r="Y147" s="84"/>
      <c r="Z147" s="84"/>
      <c r="AA147" s="84"/>
    </row>
    <row r="148" spans="1:28" s="78" customFormat="1" x14ac:dyDescent="0.2">
      <c r="A148" s="109"/>
      <c r="B148" s="117"/>
      <c r="C148" s="84" t="s">
        <v>55</v>
      </c>
      <c r="D148" s="84"/>
      <c r="E148" s="84"/>
      <c r="F148" s="84"/>
      <c r="G148" s="84"/>
      <c r="H148" s="84"/>
      <c r="I148" s="84"/>
      <c r="J148" s="84"/>
      <c r="K148" s="84"/>
      <c r="L148" s="84"/>
      <c r="M148" s="84"/>
      <c r="N148" s="84"/>
      <c r="O148" s="84"/>
      <c r="P148" s="84"/>
      <c r="Q148" s="84"/>
      <c r="R148" s="84"/>
      <c r="S148" s="84"/>
      <c r="T148" s="84"/>
      <c r="U148" s="84"/>
      <c r="V148" s="84"/>
      <c r="W148" s="84"/>
      <c r="X148" s="84"/>
      <c r="Y148" s="84"/>
      <c r="Z148" s="84"/>
      <c r="AA148" s="84"/>
    </row>
    <row r="149" spans="1:28" s="78" customFormat="1" x14ac:dyDescent="0.2">
      <c r="A149" s="109"/>
      <c r="B149" s="117"/>
      <c r="C149" s="84" t="s">
        <v>9</v>
      </c>
      <c r="D149" s="84"/>
      <c r="E149" s="84"/>
      <c r="F149" s="84"/>
      <c r="G149" s="84"/>
      <c r="H149" s="84"/>
      <c r="I149" s="84"/>
      <c r="J149" s="84"/>
      <c r="K149" s="84"/>
      <c r="L149" s="84"/>
      <c r="M149" s="84"/>
      <c r="N149" s="84"/>
      <c r="O149" s="84"/>
      <c r="P149" s="84"/>
      <c r="Q149" s="84"/>
      <c r="R149" s="84"/>
      <c r="S149" s="84"/>
      <c r="T149" s="84"/>
      <c r="U149" s="84"/>
      <c r="V149" s="84"/>
      <c r="W149" s="84"/>
      <c r="X149" s="84"/>
      <c r="Y149" s="84"/>
      <c r="Z149" s="84"/>
      <c r="AA149" s="84"/>
    </row>
    <row r="150" spans="1:28" s="78" customFormat="1" x14ac:dyDescent="0.2">
      <c r="A150" s="109"/>
      <c r="B150" s="88"/>
    </row>
    <row r="151" spans="1:28" s="78" customFormat="1" x14ac:dyDescent="0.2">
      <c r="A151" s="109"/>
      <c r="B151" s="88"/>
    </row>
    <row r="152" spans="1:28" s="19" customFormat="1" x14ac:dyDescent="0.2">
      <c r="A152" s="109"/>
      <c r="D152" s="81" t="s">
        <v>47</v>
      </c>
      <c r="E152" s="81" t="s">
        <v>48</v>
      </c>
      <c r="F152" s="81" t="s">
        <v>49</v>
      </c>
      <c r="G152" s="81" t="s">
        <v>50</v>
      </c>
      <c r="H152" s="81" t="s">
        <v>51</v>
      </c>
      <c r="I152" s="81" t="s">
        <v>52</v>
      </c>
      <c r="J152" s="81" t="s">
        <v>53</v>
      </c>
      <c r="K152" s="29">
        <v>0.01</v>
      </c>
      <c r="L152" s="29">
        <v>0.05</v>
      </c>
      <c r="M152" s="29">
        <v>0.1</v>
      </c>
      <c r="N152" s="29">
        <v>0.2</v>
      </c>
      <c r="O152" s="30">
        <v>0.3</v>
      </c>
      <c r="P152" s="30">
        <v>0.4</v>
      </c>
      <c r="Q152" s="30">
        <v>0.5</v>
      </c>
      <c r="R152" s="30">
        <v>0.6</v>
      </c>
      <c r="S152" s="30">
        <v>0.7</v>
      </c>
      <c r="T152" s="30">
        <v>0.8</v>
      </c>
      <c r="U152" s="30">
        <v>0.9</v>
      </c>
      <c r="V152" s="30">
        <v>0.95</v>
      </c>
      <c r="W152" s="30">
        <v>0.99</v>
      </c>
      <c r="X152" s="29">
        <v>0.995</v>
      </c>
      <c r="Y152" s="29">
        <v>0.999</v>
      </c>
      <c r="Z152" s="29">
        <v>0.99950000000000006</v>
      </c>
      <c r="AA152" s="29">
        <v>0.99990000000000001</v>
      </c>
    </row>
    <row r="153" spans="1:28" s="19" customFormat="1" x14ac:dyDescent="0.2">
      <c r="A153" s="109"/>
      <c r="B153" s="115" t="s">
        <v>744</v>
      </c>
      <c r="C153" s="27" t="s">
        <v>54</v>
      </c>
      <c r="D153" s="27">
        <v>33.6</v>
      </c>
      <c r="E153" s="27" t="s">
        <v>611</v>
      </c>
      <c r="F153" s="27" t="s">
        <v>612</v>
      </c>
      <c r="G153" s="27" t="s">
        <v>94</v>
      </c>
      <c r="H153" s="27" t="s">
        <v>484</v>
      </c>
      <c r="I153" s="27" t="s">
        <v>613</v>
      </c>
      <c r="J153" s="27"/>
      <c r="K153" s="27" t="s">
        <v>251</v>
      </c>
      <c r="L153" s="27" t="s">
        <v>97</v>
      </c>
      <c r="M153" s="27" t="s">
        <v>97</v>
      </c>
      <c r="N153" s="27" t="s">
        <v>97</v>
      </c>
      <c r="O153" s="27" t="s">
        <v>98</v>
      </c>
      <c r="P153" s="27" t="s">
        <v>82</v>
      </c>
      <c r="Q153" s="27" t="s">
        <v>241</v>
      </c>
      <c r="R153" s="27" t="s">
        <v>68</v>
      </c>
      <c r="S153" s="27" t="s">
        <v>88</v>
      </c>
      <c r="T153" s="27" t="s">
        <v>89</v>
      </c>
      <c r="U153" s="27" t="s">
        <v>242</v>
      </c>
      <c r="V153" s="27" t="s">
        <v>243</v>
      </c>
      <c r="W153" s="27" t="s">
        <v>75</v>
      </c>
      <c r="X153" s="27" t="s">
        <v>233</v>
      </c>
      <c r="Y153" s="27" t="s">
        <v>112</v>
      </c>
      <c r="Z153" s="27" t="s">
        <v>207</v>
      </c>
      <c r="AA153" s="27" t="s">
        <v>484</v>
      </c>
    </row>
    <row r="154" spans="1:28" s="19" customFormat="1" x14ac:dyDescent="0.2">
      <c r="A154" s="109"/>
      <c r="B154" s="115"/>
      <c r="C154" s="27" t="s">
        <v>57</v>
      </c>
      <c r="D154" s="27"/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  <c r="AA154" s="27"/>
      <c r="AB154" s="7"/>
    </row>
    <row r="155" spans="1:28" s="19" customFormat="1" x14ac:dyDescent="0.2">
      <c r="A155" s="109"/>
      <c r="B155" s="115"/>
      <c r="C155" s="27" t="s">
        <v>56</v>
      </c>
      <c r="D155" s="27"/>
      <c r="E155" s="27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  <c r="AA155" s="27"/>
      <c r="AB155" s="7"/>
    </row>
    <row r="156" spans="1:28" s="19" customFormat="1" x14ac:dyDescent="0.2">
      <c r="A156" s="109"/>
      <c r="B156" s="115"/>
      <c r="C156" s="27" t="s">
        <v>55</v>
      </c>
      <c r="D156" s="27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  <c r="AA156" s="27"/>
      <c r="AB156" s="7"/>
    </row>
    <row r="157" spans="1:28" s="19" customFormat="1" x14ac:dyDescent="0.2">
      <c r="A157" s="109"/>
      <c r="B157" s="115"/>
      <c r="C157" s="27" t="s">
        <v>9</v>
      </c>
      <c r="D157" s="27"/>
      <c r="E157" s="27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  <c r="AA157" s="27"/>
      <c r="AB157" s="7"/>
    </row>
    <row r="158" spans="1:28" s="19" customFormat="1" x14ac:dyDescent="0.2">
      <c r="A158" s="109"/>
      <c r="B158" s="88"/>
      <c r="AB158" s="7"/>
    </row>
    <row r="159" spans="1:28" s="78" customFormat="1" x14ac:dyDescent="0.2">
      <c r="D159" s="81" t="s">
        <v>47</v>
      </c>
      <c r="E159" s="81" t="s">
        <v>48</v>
      </c>
      <c r="F159" s="81" t="s">
        <v>49</v>
      </c>
      <c r="G159" s="81" t="s">
        <v>50</v>
      </c>
      <c r="H159" s="81" t="s">
        <v>51</v>
      </c>
      <c r="I159" s="81" t="s">
        <v>52</v>
      </c>
      <c r="J159" s="81" t="s">
        <v>53</v>
      </c>
      <c r="K159" s="29">
        <v>0.01</v>
      </c>
      <c r="L159" s="29">
        <v>0.05</v>
      </c>
      <c r="M159" s="29">
        <v>0.1</v>
      </c>
      <c r="N159" s="29">
        <v>0.2</v>
      </c>
      <c r="O159" s="30">
        <v>0.3</v>
      </c>
      <c r="P159" s="30">
        <v>0.4</v>
      </c>
      <c r="Q159" s="30">
        <v>0.5</v>
      </c>
      <c r="R159" s="30">
        <v>0.6</v>
      </c>
      <c r="S159" s="30">
        <v>0.7</v>
      </c>
      <c r="T159" s="30">
        <v>0.8</v>
      </c>
      <c r="U159" s="30">
        <v>0.9</v>
      </c>
      <c r="V159" s="30">
        <v>0.95</v>
      </c>
      <c r="W159" s="30">
        <v>0.99</v>
      </c>
      <c r="X159" s="29">
        <v>0.995</v>
      </c>
      <c r="Y159" s="29">
        <v>0.999</v>
      </c>
      <c r="Z159" s="29">
        <v>0.99950000000000006</v>
      </c>
      <c r="AA159" s="29">
        <v>0.99990000000000001</v>
      </c>
      <c r="AB159" s="7"/>
    </row>
    <row r="160" spans="1:28" s="78" customFormat="1" x14ac:dyDescent="0.2">
      <c r="B160" s="115" t="s">
        <v>745</v>
      </c>
      <c r="C160" s="84" t="s">
        <v>54</v>
      </c>
      <c r="D160" s="84">
        <v>50.4</v>
      </c>
      <c r="E160" s="84" t="s">
        <v>629</v>
      </c>
      <c r="F160" s="84" t="s">
        <v>630</v>
      </c>
      <c r="G160" s="84" t="s">
        <v>250</v>
      </c>
      <c r="H160" s="84" t="s">
        <v>631</v>
      </c>
      <c r="I160" s="84" t="s">
        <v>632</v>
      </c>
      <c r="J160" s="84" t="s">
        <v>633</v>
      </c>
      <c r="K160" s="84" t="s">
        <v>98</v>
      </c>
      <c r="L160" s="84" t="s">
        <v>68</v>
      </c>
      <c r="M160" s="84" t="s">
        <v>88</v>
      </c>
      <c r="N160" s="84" t="s">
        <v>252</v>
      </c>
      <c r="O160" s="84" t="s">
        <v>69</v>
      </c>
      <c r="P160" s="84" t="s">
        <v>456</v>
      </c>
      <c r="Q160" s="84" t="s">
        <v>73</v>
      </c>
      <c r="R160" s="84" t="s">
        <v>301</v>
      </c>
      <c r="S160" s="84" t="s">
        <v>233</v>
      </c>
      <c r="T160" s="84" t="s">
        <v>181</v>
      </c>
      <c r="U160" s="84" t="s">
        <v>114</v>
      </c>
      <c r="V160" s="84" t="s">
        <v>166</v>
      </c>
      <c r="W160" s="84" t="s">
        <v>342</v>
      </c>
      <c r="X160" s="84" t="s">
        <v>327</v>
      </c>
      <c r="Y160" s="84" t="s">
        <v>196</v>
      </c>
      <c r="Z160" s="84" t="s">
        <v>527</v>
      </c>
      <c r="AA160" s="84" t="s">
        <v>634</v>
      </c>
      <c r="AB160" s="7"/>
    </row>
    <row r="161" spans="2:28" s="78" customFormat="1" x14ac:dyDescent="0.2">
      <c r="B161" s="115"/>
      <c r="C161" s="84" t="s">
        <v>57</v>
      </c>
      <c r="D161" s="84"/>
      <c r="E161" s="84"/>
      <c r="F161" s="84"/>
      <c r="G161" s="84"/>
      <c r="H161" s="84"/>
      <c r="I161" s="84"/>
      <c r="J161" s="84"/>
      <c r="K161" s="84"/>
      <c r="L161" s="84"/>
      <c r="M161" s="84"/>
      <c r="N161" s="84"/>
      <c r="O161" s="84"/>
      <c r="P161" s="84"/>
      <c r="Q161" s="84"/>
      <c r="R161" s="84"/>
      <c r="S161" s="84"/>
      <c r="T161" s="84"/>
      <c r="U161" s="84"/>
      <c r="V161" s="84"/>
      <c r="W161" s="84"/>
      <c r="X161" s="84"/>
      <c r="Y161" s="84"/>
      <c r="Z161" s="84"/>
      <c r="AA161" s="84"/>
      <c r="AB161" s="7"/>
    </row>
    <row r="162" spans="2:28" s="78" customFormat="1" x14ac:dyDescent="0.2">
      <c r="B162" s="115"/>
      <c r="C162" s="84" t="s">
        <v>56</v>
      </c>
      <c r="D162" s="84"/>
      <c r="E162" s="84"/>
      <c r="F162" s="84"/>
      <c r="G162" s="84"/>
      <c r="H162" s="84"/>
      <c r="I162" s="84"/>
      <c r="J162" s="84"/>
      <c r="K162" s="84"/>
      <c r="L162" s="84"/>
      <c r="M162" s="84"/>
      <c r="N162" s="84"/>
      <c r="O162" s="84"/>
      <c r="P162" s="84"/>
      <c r="Q162" s="84"/>
      <c r="R162" s="84"/>
      <c r="S162" s="84"/>
      <c r="T162" s="84"/>
      <c r="U162" s="84"/>
      <c r="V162" s="84"/>
      <c r="W162" s="84"/>
      <c r="X162" s="84"/>
      <c r="Y162" s="84"/>
      <c r="Z162" s="84"/>
      <c r="AA162" s="84"/>
      <c r="AB162" s="7"/>
    </row>
    <row r="163" spans="2:28" s="78" customFormat="1" x14ac:dyDescent="0.2">
      <c r="B163" s="115"/>
      <c r="C163" s="84" t="s">
        <v>55</v>
      </c>
      <c r="D163" s="84"/>
      <c r="E163" s="84"/>
      <c r="F163" s="84"/>
      <c r="G163" s="84"/>
      <c r="H163" s="84"/>
      <c r="I163" s="84"/>
      <c r="J163" s="84"/>
      <c r="K163" s="84"/>
      <c r="L163" s="84"/>
      <c r="M163" s="84"/>
      <c r="N163" s="84"/>
      <c r="O163" s="84"/>
      <c r="P163" s="84"/>
      <c r="Q163" s="84"/>
      <c r="R163" s="84"/>
      <c r="S163" s="84"/>
      <c r="T163" s="84"/>
      <c r="U163" s="84"/>
      <c r="V163" s="84"/>
      <c r="W163" s="84"/>
      <c r="X163" s="84"/>
      <c r="Y163" s="84"/>
      <c r="Z163" s="84"/>
      <c r="AA163" s="84"/>
      <c r="AB163" s="7"/>
    </row>
    <row r="164" spans="2:28" s="78" customFormat="1" x14ac:dyDescent="0.2">
      <c r="B164" s="115"/>
      <c r="C164" s="84" t="s">
        <v>9</v>
      </c>
      <c r="D164" s="84"/>
      <c r="E164" s="84"/>
      <c r="F164" s="84"/>
      <c r="G164" s="84"/>
      <c r="H164" s="84"/>
      <c r="I164" s="84"/>
      <c r="J164" s="84"/>
      <c r="K164" s="84"/>
      <c r="L164" s="84"/>
      <c r="M164" s="84"/>
      <c r="N164" s="84"/>
      <c r="O164" s="84"/>
      <c r="P164" s="84"/>
      <c r="Q164" s="84"/>
      <c r="R164" s="84"/>
      <c r="S164" s="84"/>
      <c r="T164" s="84"/>
      <c r="U164" s="84"/>
      <c r="V164" s="84"/>
      <c r="W164" s="84"/>
      <c r="X164" s="84"/>
      <c r="Y164" s="84"/>
      <c r="Z164" s="84"/>
      <c r="AA164" s="84"/>
      <c r="AB164" s="7"/>
    </row>
    <row r="165" spans="2:28" s="78" customFormat="1" x14ac:dyDescent="0.2">
      <c r="B165" s="88"/>
      <c r="AB165" s="7"/>
    </row>
    <row r="166" spans="2:28" s="78" customFormat="1" x14ac:dyDescent="0.2">
      <c r="D166" s="81" t="s">
        <v>47</v>
      </c>
      <c r="E166" s="81" t="s">
        <v>48</v>
      </c>
      <c r="F166" s="81" t="s">
        <v>49</v>
      </c>
      <c r="G166" s="81" t="s">
        <v>50</v>
      </c>
      <c r="H166" s="81" t="s">
        <v>51</v>
      </c>
      <c r="I166" s="81" t="s">
        <v>52</v>
      </c>
      <c r="J166" s="81" t="s">
        <v>53</v>
      </c>
      <c r="K166" s="29">
        <v>0.01</v>
      </c>
      <c r="L166" s="29">
        <v>0.05</v>
      </c>
      <c r="M166" s="29">
        <v>0.1</v>
      </c>
      <c r="N166" s="29">
        <v>0.2</v>
      </c>
      <c r="O166" s="30">
        <v>0.3</v>
      </c>
      <c r="P166" s="30">
        <v>0.4</v>
      </c>
      <c r="Q166" s="30">
        <v>0.5</v>
      </c>
      <c r="R166" s="30">
        <v>0.6</v>
      </c>
      <c r="S166" s="30">
        <v>0.7</v>
      </c>
      <c r="T166" s="30">
        <v>0.8</v>
      </c>
      <c r="U166" s="30">
        <v>0.9</v>
      </c>
      <c r="V166" s="30">
        <v>0.95</v>
      </c>
      <c r="W166" s="30">
        <v>0.99</v>
      </c>
      <c r="X166" s="29">
        <v>0.995</v>
      </c>
      <c r="Y166" s="29">
        <v>0.999</v>
      </c>
      <c r="Z166" s="29">
        <v>0.99950000000000006</v>
      </c>
      <c r="AA166" s="29">
        <v>0.99990000000000001</v>
      </c>
      <c r="AB166" s="7"/>
    </row>
    <row r="167" spans="2:28" s="78" customFormat="1" x14ac:dyDescent="0.2">
      <c r="B167" s="115" t="s">
        <v>746</v>
      </c>
      <c r="C167" s="84" t="s">
        <v>54</v>
      </c>
      <c r="D167" s="84" t="s">
        <v>223</v>
      </c>
      <c r="E167" s="84" t="s">
        <v>614</v>
      </c>
      <c r="F167" s="84" t="s">
        <v>615</v>
      </c>
      <c r="G167" s="84" t="s">
        <v>93</v>
      </c>
      <c r="H167" s="84" t="s">
        <v>616</v>
      </c>
      <c r="I167" s="84" t="s">
        <v>617</v>
      </c>
      <c r="J167" s="84" t="s">
        <v>618</v>
      </c>
      <c r="K167" s="84" t="s">
        <v>86</v>
      </c>
      <c r="L167" s="84" t="s">
        <v>69</v>
      </c>
      <c r="M167" s="84" t="s">
        <v>255</v>
      </c>
      <c r="N167" s="84" t="s">
        <v>307</v>
      </c>
      <c r="O167" s="84" t="s">
        <v>76</v>
      </c>
      <c r="P167" s="84" t="s">
        <v>109</v>
      </c>
      <c r="Q167" s="84" t="s">
        <v>145</v>
      </c>
      <c r="R167" s="84" t="s">
        <v>148</v>
      </c>
      <c r="S167" s="84" t="s">
        <v>218</v>
      </c>
      <c r="T167" s="84" t="s">
        <v>127</v>
      </c>
      <c r="U167" s="84" t="s">
        <v>153</v>
      </c>
      <c r="V167" s="84" t="s">
        <v>278</v>
      </c>
      <c r="W167" s="84" t="s">
        <v>417</v>
      </c>
      <c r="X167" s="84" t="s">
        <v>484</v>
      </c>
      <c r="Y167" s="84" t="s">
        <v>619</v>
      </c>
      <c r="Z167" s="84" t="s">
        <v>324</v>
      </c>
      <c r="AA167" s="84" t="s">
        <v>620</v>
      </c>
      <c r="AB167" s="7"/>
    </row>
    <row r="168" spans="2:28" s="78" customFormat="1" x14ac:dyDescent="0.2">
      <c r="B168" s="115"/>
      <c r="C168" s="84" t="s">
        <v>57</v>
      </c>
      <c r="D168" s="84"/>
      <c r="E168" s="84"/>
      <c r="F168" s="84"/>
      <c r="G168" s="84"/>
      <c r="H168" s="84"/>
      <c r="I168" s="84"/>
      <c r="J168" s="84"/>
      <c r="K168" s="84"/>
      <c r="L168" s="84"/>
      <c r="M168" s="84"/>
      <c r="N168" s="84"/>
      <c r="O168" s="84"/>
      <c r="P168" s="84"/>
      <c r="Q168" s="84"/>
      <c r="R168" s="84"/>
      <c r="S168" s="84"/>
      <c r="T168" s="84"/>
      <c r="U168" s="84"/>
      <c r="V168" s="84"/>
      <c r="W168" s="84"/>
      <c r="X168" s="84"/>
      <c r="Y168" s="84"/>
      <c r="Z168" s="84"/>
      <c r="AA168" s="84"/>
      <c r="AB168" s="7"/>
    </row>
    <row r="169" spans="2:28" s="78" customFormat="1" x14ac:dyDescent="0.2">
      <c r="B169" s="115"/>
      <c r="C169" s="84" t="s">
        <v>56</v>
      </c>
      <c r="D169" s="84"/>
      <c r="E169" s="84"/>
      <c r="F169" s="84"/>
      <c r="G169" s="84"/>
      <c r="H169" s="84"/>
      <c r="I169" s="84"/>
      <c r="J169" s="84"/>
      <c r="K169" s="84"/>
      <c r="L169" s="84"/>
      <c r="M169" s="84"/>
      <c r="N169" s="84"/>
      <c r="O169" s="84"/>
      <c r="P169" s="84"/>
      <c r="Q169" s="84"/>
      <c r="R169" s="84"/>
      <c r="S169" s="84"/>
      <c r="T169" s="84"/>
      <c r="U169" s="84"/>
      <c r="V169" s="84"/>
      <c r="W169" s="84"/>
      <c r="X169" s="84"/>
      <c r="Y169" s="84"/>
      <c r="Z169" s="84"/>
      <c r="AA169" s="84"/>
      <c r="AB169" s="7"/>
    </row>
    <row r="170" spans="2:28" s="78" customFormat="1" x14ac:dyDescent="0.2">
      <c r="B170" s="115"/>
      <c r="C170" s="84" t="s">
        <v>55</v>
      </c>
      <c r="D170" s="84"/>
      <c r="E170" s="84"/>
      <c r="F170" s="84"/>
      <c r="G170" s="84"/>
      <c r="H170" s="84"/>
      <c r="I170" s="84"/>
      <c r="J170" s="84"/>
      <c r="K170" s="84"/>
      <c r="L170" s="84"/>
      <c r="M170" s="84"/>
      <c r="N170" s="84"/>
      <c r="O170" s="84"/>
      <c r="P170" s="84"/>
      <c r="Q170" s="84"/>
      <c r="R170" s="84"/>
      <c r="S170" s="84"/>
      <c r="T170" s="84"/>
      <c r="U170" s="84"/>
      <c r="V170" s="84"/>
      <c r="W170" s="84"/>
      <c r="X170" s="84"/>
      <c r="Y170" s="84"/>
      <c r="Z170" s="84"/>
      <c r="AA170" s="84"/>
      <c r="AB170" s="7"/>
    </row>
    <row r="171" spans="2:28" s="78" customFormat="1" x14ac:dyDescent="0.2">
      <c r="B171" s="115"/>
      <c r="C171" s="84" t="s">
        <v>9</v>
      </c>
      <c r="D171" s="84"/>
      <c r="E171" s="84"/>
      <c r="F171" s="84"/>
      <c r="G171" s="84"/>
      <c r="H171" s="84"/>
      <c r="I171" s="84"/>
      <c r="J171" s="84"/>
      <c r="K171" s="84"/>
      <c r="L171" s="84"/>
      <c r="M171" s="84"/>
      <c r="N171" s="84"/>
      <c r="O171" s="84"/>
      <c r="P171" s="84"/>
      <c r="Q171" s="84"/>
      <c r="R171" s="84"/>
      <c r="S171" s="84"/>
      <c r="T171" s="84"/>
      <c r="U171" s="84"/>
      <c r="V171" s="84"/>
      <c r="W171" s="84"/>
      <c r="X171" s="84"/>
      <c r="Y171" s="84"/>
      <c r="Z171" s="84"/>
      <c r="AA171" s="84"/>
      <c r="AB171" s="7"/>
    </row>
    <row r="172" spans="2:28" s="78" customFormat="1" x14ac:dyDescent="0.2">
      <c r="B172" s="88"/>
      <c r="AB172" s="7"/>
    </row>
    <row r="173" spans="2:28" s="78" customFormat="1" x14ac:dyDescent="0.2">
      <c r="D173" s="81" t="s">
        <v>47</v>
      </c>
      <c r="E173" s="81" t="s">
        <v>48</v>
      </c>
      <c r="F173" s="81" t="s">
        <v>49</v>
      </c>
      <c r="G173" s="81" t="s">
        <v>50</v>
      </c>
      <c r="H173" s="81" t="s">
        <v>51</v>
      </c>
      <c r="I173" s="81" t="s">
        <v>52</v>
      </c>
      <c r="J173" s="81" t="s">
        <v>53</v>
      </c>
      <c r="K173" s="29">
        <v>0.01</v>
      </c>
      <c r="L173" s="29">
        <v>0.05</v>
      </c>
      <c r="M173" s="29">
        <v>0.1</v>
      </c>
      <c r="N173" s="29">
        <v>0.2</v>
      </c>
      <c r="O173" s="30">
        <v>0.3</v>
      </c>
      <c r="P173" s="30">
        <v>0.4</v>
      </c>
      <c r="Q173" s="30">
        <v>0.5</v>
      </c>
      <c r="R173" s="30">
        <v>0.6</v>
      </c>
      <c r="S173" s="30">
        <v>0.7</v>
      </c>
      <c r="T173" s="30">
        <v>0.8</v>
      </c>
      <c r="U173" s="30">
        <v>0.9</v>
      </c>
      <c r="V173" s="30">
        <v>0.95</v>
      </c>
      <c r="W173" s="30">
        <v>0.99</v>
      </c>
      <c r="X173" s="29">
        <v>0.995</v>
      </c>
      <c r="Y173" s="29">
        <v>0.999</v>
      </c>
      <c r="Z173" s="29">
        <v>0.99950000000000006</v>
      </c>
      <c r="AA173" s="29">
        <v>0.99990000000000001</v>
      </c>
      <c r="AB173" s="7"/>
    </row>
    <row r="174" spans="2:28" s="78" customFormat="1" x14ac:dyDescent="0.2">
      <c r="B174" s="115" t="s">
        <v>747</v>
      </c>
      <c r="C174" s="84" t="s">
        <v>54</v>
      </c>
      <c r="D174" s="84">
        <v>64.3</v>
      </c>
      <c r="E174" s="84" t="s">
        <v>621</v>
      </c>
      <c r="F174" s="84" t="s">
        <v>622</v>
      </c>
      <c r="G174" s="84" t="s">
        <v>452</v>
      </c>
      <c r="H174" s="84" t="s">
        <v>623</v>
      </c>
      <c r="I174" s="84" t="s">
        <v>624</v>
      </c>
      <c r="J174" s="84" t="s">
        <v>625</v>
      </c>
      <c r="K174" s="84" t="s">
        <v>242</v>
      </c>
      <c r="L174" s="84" t="s">
        <v>255</v>
      </c>
      <c r="M174" s="84" t="s">
        <v>378</v>
      </c>
      <c r="N174" s="84" t="s">
        <v>76</v>
      </c>
      <c r="O174" s="84" t="s">
        <v>111</v>
      </c>
      <c r="P174" s="84" t="s">
        <v>114</v>
      </c>
      <c r="Q174" s="84" t="s">
        <v>165</v>
      </c>
      <c r="R174" s="84" t="s">
        <v>218</v>
      </c>
      <c r="S174" s="84" t="s">
        <v>182</v>
      </c>
      <c r="T174" s="84" t="s">
        <v>238</v>
      </c>
      <c r="U174" s="84" t="s">
        <v>135</v>
      </c>
      <c r="V174" s="84" t="s">
        <v>352</v>
      </c>
      <c r="W174" s="84" t="s">
        <v>280</v>
      </c>
      <c r="X174" s="84" t="s">
        <v>626</v>
      </c>
      <c r="Y174" s="84" t="s">
        <v>371</v>
      </c>
      <c r="Z174" s="84" t="s">
        <v>627</v>
      </c>
      <c r="AA174" s="84" t="s">
        <v>628</v>
      </c>
      <c r="AB174" s="7"/>
    </row>
    <row r="175" spans="2:28" s="78" customFormat="1" x14ac:dyDescent="0.2">
      <c r="B175" s="115"/>
      <c r="C175" s="84" t="s">
        <v>57</v>
      </c>
      <c r="D175" s="84"/>
      <c r="E175" s="84"/>
      <c r="F175" s="84"/>
      <c r="G175" s="84"/>
      <c r="H175" s="84"/>
      <c r="I175" s="84"/>
      <c r="J175" s="84"/>
      <c r="K175" s="84"/>
      <c r="L175" s="84"/>
      <c r="M175" s="84"/>
      <c r="N175" s="84"/>
      <c r="O175" s="84"/>
      <c r="P175" s="84"/>
      <c r="Q175" s="84"/>
      <c r="R175" s="84"/>
      <c r="S175" s="84"/>
      <c r="T175" s="84"/>
      <c r="U175" s="84"/>
      <c r="V175" s="84"/>
      <c r="W175" s="84"/>
      <c r="X175" s="84"/>
      <c r="Y175" s="84"/>
      <c r="Z175" s="84"/>
      <c r="AA175" s="84"/>
      <c r="AB175" s="7"/>
    </row>
    <row r="176" spans="2:28" s="78" customFormat="1" x14ac:dyDescent="0.2">
      <c r="B176" s="115"/>
      <c r="C176" s="84" t="s">
        <v>56</v>
      </c>
      <c r="D176" s="84"/>
      <c r="E176" s="84"/>
      <c r="F176" s="84"/>
      <c r="G176" s="84"/>
      <c r="H176" s="84"/>
      <c r="I176" s="84"/>
      <c r="J176" s="84"/>
      <c r="K176" s="84"/>
      <c r="L176" s="84"/>
      <c r="M176" s="84"/>
      <c r="N176" s="84"/>
      <c r="O176" s="84"/>
      <c r="P176" s="84"/>
      <c r="Q176" s="84"/>
      <c r="R176" s="84"/>
      <c r="S176" s="84"/>
      <c r="T176" s="84"/>
      <c r="U176" s="84"/>
      <c r="V176" s="84"/>
      <c r="W176" s="84"/>
      <c r="X176" s="84"/>
      <c r="Y176" s="84"/>
      <c r="Z176" s="84"/>
      <c r="AA176" s="84"/>
      <c r="AB176" s="7"/>
    </row>
    <row r="177" spans="1:28" s="78" customFormat="1" x14ac:dyDescent="0.2">
      <c r="B177" s="115"/>
      <c r="C177" s="84" t="s">
        <v>55</v>
      </c>
      <c r="D177" s="84"/>
      <c r="E177" s="84"/>
      <c r="F177" s="84"/>
      <c r="G177" s="84"/>
      <c r="H177" s="84"/>
      <c r="I177" s="84"/>
      <c r="J177" s="84"/>
      <c r="K177" s="84"/>
      <c r="L177" s="84"/>
      <c r="M177" s="84"/>
      <c r="N177" s="84"/>
      <c r="O177" s="84"/>
      <c r="P177" s="84"/>
      <c r="Q177" s="84"/>
      <c r="R177" s="84"/>
      <c r="S177" s="84"/>
      <c r="T177" s="84"/>
      <c r="U177" s="84"/>
      <c r="V177" s="84"/>
      <c r="W177" s="84"/>
      <c r="X177" s="84"/>
      <c r="Y177" s="84"/>
      <c r="Z177" s="84"/>
      <c r="AA177" s="84"/>
      <c r="AB177" s="7"/>
    </row>
    <row r="178" spans="1:28" s="78" customFormat="1" x14ac:dyDescent="0.2">
      <c r="B178" s="115"/>
      <c r="C178" s="84" t="s">
        <v>9</v>
      </c>
      <c r="D178" s="84"/>
      <c r="E178" s="84"/>
      <c r="F178" s="84"/>
      <c r="G178" s="84"/>
      <c r="H178" s="84"/>
      <c r="I178" s="84"/>
      <c r="J178" s="84"/>
      <c r="K178" s="84"/>
      <c r="L178" s="84"/>
      <c r="M178" s="84"/>
      <c r="N178" s="84"/>
      <c r="O178" s="84"/>
      <c r="P178" s="84"/>
      <c r="Q178" s="84"/>
      <c r="R178" s="84"/>
      <c r="S178" s="84"/>
      <c r="T178" s="84"/>
      <c r="U178" s="84"/>
      <c r="V178" s="84"/>
      <c r="W178" s="84"/>
      <c r="X178" s="84"/>
      <c r="Y178" s="84"/>
      <c r="Z178" s="84"/>
      <c r="AA178" s="84"/>
      <c r="AB178" s="7"/>
    </row>
    <row r="179" spans="1:28" s="78" customFormat="1" x14ac:dyDescent="0.2">
      <c r="B179" s="88"/>
      <c r="AB179" s="7"/>
    </row>
    <row r="180" spans="1:28" ht="23.25" x14ac:dyDescent="0.2">
      <c r="Y180" s="20"/>
      <c r="Z180" s="20"/>
      <c r="AA180" s="20"/>
    </row>
    <row r="181" spans="1:28" ht="23.25" x14ac:dyDescent="0.2">
      <c r="A181" s="113" t="s">
        <v>63</v>
      </c>
      <c r="B181" s="113"/>
      <c r="C181" s="113"/>
      <c r="D181" s="113"/>
      <c r="E181" s="113"/>
      <c r="F181" s="113"/>
      <c r="G181" s="113"/>
      <c r="H181" s="113"/>
      <c r="I181" s="113"/>
      <c r="J181" s="113"/>
      <c r="K181" s="113"/>
      <c r="L181" s="113"/>
      <c r="M181" s="113"/>
      <c r="N181" s="113"/>
      <c r="O181" s="113"/>
      <c r="P181" s="113"/>
      <c r="Q181" s="113"/>
      <c r="R181" s="113"/>
      <c r="S181" s="113"/>
      <c r="T181" s="20"/>
      <c r="U181" s="20"/>
      <c r="V181" s="20"/>
      <c r="W181" s="20"/>
      <c r="X181" s="20"/>
    </row>
    <row r="182" spans="1:28" s="19" customFormat="1" x14ac:dyDescent="0.2">
      <c r="C182" s="7"/>
      <c r="D182" s="27" t="s">
        <v>47</v>
      </c>
      <c r="E182" s="27" t="s">
        <v>48</v>
      </c>
      <c r="F182" s="27" t="s">
        <v>49</v>
      </c>
      <c r="G182" s="27" t="s">
        <v>50</v>
      </c>
      <c r="H182" s="27" t="s">
        <v>51</v>
      </c>
      <c r="I182" s="27" t="s">
        <v>52</v>
      </c>
      <c r="J182" s="27" t="s">
        <v>53</v>
      </c>
      <c r="K182" s="53">
        <v>0.01</v>
      </c>
      <c r="L182" s="53">
        <v>0.05</v>
      </c>
      <c r="M182" s="53">
        <v>0.1</v>
      </c>
      <c r="N182" s="53">
        <v>0.2</v>
      </c>
      <c r="O182" s="54">
        <v>0.3</v>
      </c>
      <c r="P182" s="54">
        <v>0.4</v>
      </c>
      <c r="Q182" s="54">
        <v>0.5</v>
      </c>
      <c r="R182" s="54">
        <v>0.6</v>
      </c>
      <c r="S182" s="54">
        <v>0.7</v>
      </c>
      <c r="T182" s="54">
        <v>0.8</v>
      </c>
      <c r="U182" s="54">
        <v>0.9</v>
      </c>
      <c r="V182" s="54">
        <v>0.95</v>
      </c>
      <c r="W182" s="54">
        <v>0.99</v>
      </c>
      <c r="X182" s="53">
        <v>0.995</v>
      </c>
      <c r="Y182" s="53">
        <v>0.999</v>
      </c>
      <c r="Z182" s="53">
        <v>0.99950000000000006</v>
      </c>
      <c r="AA182" s="55">
        <v>0.99990000000000001</v>
      </c>
    </row>
    <row r="183" spans="1:28" s="19" customFormat="1" x14ac:dyDescent="0.2">
      <c r="B183" s="129" t="s">
        <v>419</v>
      </c>
      <c r="C183" s="27" t="s">
        <v>54</v>
      </c>
      <c r="D183" s="27" t="s">
        <v>118</v>
      </c>
      <c r="E183" s="27" t="s">
        <v>119</v>
      </c>
      <c r="F183" s="27" t="s">
        <v>120</v>
      </c>
      <c r="G183" s="27" t="s">
        <v>68</v>
      </c>
      <c r="H183" s="27" t="s">
        <v>121</v>
      </c>
      <c r="I183" s="27" t="s">
        <v>122</v>
      </c>
      <c r="J183" s="27" t="s">
        <v>123</v>
      </c>
      <c r="K183" s="53" t="s">
        <v>124</v>
      </c>
      <c r="L183" s="53" t="s">
        <v>125</v>
      </c>
      <c r="M183" s="53" t="s">
        <v>126</v>
      </c>
      <c r="N183" s="53" t="s">
        <v>127</v>
      </c>
      <c r="O183" s="54" t="s">
        <v>128</v>
      </c>
      <c r="P183" s="54" t="s">
        <v>129</v>
      </c>
      <c r="Q183" s="54" t="s">
        <v>130</v>
      </c>
      <c r="R183" s="54" t="s">
        <v>131</v>
      </c>
      <c r="S183" s="54" t="s">
        <v>132</v>
      </c>
      <c r="T183" s="54" t="s">
        <v>133</v>
      </c>
      <c r="U183" s="54" t="s">
        <v>134</v>
      </c>
      <c r="V183" s="54" t="s">
        <v>135</v>
      </c>
      <c r="W183" s="54" t="s">
        <v>90</v>
      </c>
      <c r="X183" s="53" t="s">
        <v>136</v>
      </c>
      <c r="Y183" s="53" t="s">
        <v>137</v>
      </c>
      <c r="Z183" s="53" t="s">
        <v>137</v>
      </c>
      <c r="AA183" s="53" t="s">
        <v>138</v>
      </c>
    </row>
    <row r="184" spans="1:28" s="28" customFormat="1" x14ac:dyDescent="0.2">
      <c r="A184" s="114" t="s">
        <v>61</v>
      </c>
      <c r="B184" s="130"/>
      <c r="C184" s="23" t="s">
        <v>57</v>
      </c>
      <c r="D184" s="33">
        <f>2.5*D183</f>
        <v>5082.5</v>
      </c>
      <c r="E184" s="56">
        <f t="shared" ref="E184:F184" si="6">2.5*E183</f>
        <v>158.75</v>
      </c>
      <c r="F184" s="81">
        <f t="shared" si="6"/>
        <v>166.5</v>
      </c>
      <c r="G184" s="23"/>
      <c r="H184" s="23"/>
      <c r="I184" s="23"/>
      <c r="J184" s="23"/>
      <c r="K184" s="23">
        <v>86</v>
      </c>
      <c r="L184" s="23">
        <v>86</v>
      </c>
      <c r="M184" s="23">
        <v>88</v>
      </c>
      <c r="N184" s="23">
        <v>88</v>
      </c>
      <c r="O184" s="23">
        <v>88</v>
      </c>
      <c r="P184" s="23">
        <v>94</v>
      </c>
      <c r="Q184" s="23">
        <v>96</v>
      </c>
      <c r="R184" s="23">
        <v>98</v>
      </c>
      <c r="S184" s="23">
        <v>102</v>
      </c>
      <c r="T184" s="23">
        <v>104</v>
      </c>
      <c r="U184" s="23">
        <v>113</v>
      </c>
      <c r="V184" s="23">
        <v>121</v>
      </c>
      <c r="W184" s="23">
        <v>147</v>
      </c>
      <c r="X184" s="33">
        <f>X183/2.5</f>
        <v>19608.400000000001</v>
      </c>
      <c r="Y184" s="33">
        <f t="shared" ref="Y184:AA184" si="7">Y183/2.5</f>
        <v>19818.400000000001</v>
      </c>
      <c r="Z184" s="33">
        <f t="shared" si="7"/>
        <v>19818.400000000001</v>
      </c>
      <c r="AA184" s="33">
        <f t="shared" si="7"/>
        <v>20028</v>
      </c>
    </row>
    <row r="185" spans="1:28" s="28" customFormat="1" x14ac:dyDescent="0.2">
      <c r="A185" s="114"/>
      <c r="B185" s="130"/>
      <c r="C185" s="23" t="s">
        <v>56</v>
      </c>
      <c r="D185" s="56">
        <f>2033/3.166</f>
        <v>642.13518635502214</v>
      </c>
      <c r="E185" s="56">
        <f>63.5/3.162</f>
        <v>20.082226438962682</v>
      </c>
      <c r="F185" s="23"/>
      <c r="G185" s="23"/>
      <c r="H185" s="23"/>
      <c r="I185" s="23"/>
      <c r="J185" s="23"/>
      <c r="K185" s="23">
        <f>K183*3</f>
        <v>258</v>
      </c>
      <c r="L185" s="23">
        <f t="shared" ref="L185:V185" si="8">L183*3</f>
        <v>270</v>
      </c>
      <c r="M185" s="23">
        <f t="shared" si="8"/>
        <v>276</v>
      </c>
      <c r="N185" s="23">
        <f t="shared" si="8"/>
        <v>291</v>
      </c>
      <c r="O185" s="23">
        <f t="shared" si="8"/>
        <v>300</v>
      </c>
      <c r="P185" s="23">
        <f t="shared" si="8"/>
        <v>306</v>
      </c>
      <c r="Q185" s="23">
        <f t="shared" si="8"/>
        <v>312</v>
      </c>
      <c r="R185" s="23">
        <f t="shared" si="8"/>
        <v>324</v>
      </c>
      <c r="S185" s="23">
        <f t="shared" si="8"/>
        <v>333</v>
      </c>
      <c r="T185" s="23">
        <f t="shared" si="8"/>
        <v>348</v>
      </c>
      <c r="U185" s="23">
        <f t="shared" si="8"/>
        <v>378</v>
      </c>
      <c r="V185" s="23">
        <f t="shared" si="8"/>
        <v>417</v>
      </c>
      <c r="W185" s="23">
        <f>W183*3</f>
        <v>558</v>
      </c>
      <c r="X185" s="23">
        <v>49021</v>
      </c>
      <c r="Y185" s="23">
        <v>148638</v>
      </c>
      <c r="Z185" s="23">
        <f>49546*3</f>
        <v>148638</v>
      </c>
      <c r="AA185" s="81">
        <v>151119</v>
      </c>
    </row>
    <row r="186" spans="1:28" s="19" customFormat="1" x14ac:dyDescent="0.2">
      <c r="A186" s="114"/>
      <c r="B186" s="130"/>
      <c r="C186" s="27" t="s">
        <v>55</v>
      </c>
      <c r="D186" s="38" t="s">
        <v>424</v>
      </c>
      <c r="E186" s="90">
        <v>163</v>
      </c>
      <c r="F186" s="27" t="s">
        <v>221</v>
      </c>
      <c r="G186" s="27" t="s">
        <v>168</v>
      </c>
      <c r="H186" s="27" t="s">
        <v>426</v>
      </c>
      <c r="I186" s="27" t="s">
        <v>427</v>
      </c>
      <c r="J186" s="27" t="s">
        <v>428</v>
      </c>
      <c r="K186" s="27" t="s">
        <v>258</v>
      </c>
      <c r="L186" s="27" t="s">
        <v>117</v>
      </c>
      <c r="M186" s="27" t="s">
        <v>152</v>
      </c>
      <c r="N186" s="27" t="s">
        <v>429</v>
      </c>
      <c r="O186" s="27" t="s">
        <v>368</v>
      </c>
      <c r="P186" s="27" t="s">
        <v>132</v>
      </c>
      <c r="Q186" s="27" t="s">
        <v>169</v>
      </c>
      <c r="R186" s="27" t="s">
        <v>287</v>
      </c>
      <c r="S186" s="27" t="s">
        <v>153</v>
      </c>
      <c r="T186" s="27" t="s">
        <v>430</v>
      </c>
      <c r="U186" s="27" t="s">
        <v>232</v>
      </c>
      <c r="V186" s="27" t="s">
        <v>431</v>
      </c>
      <c r="W186" s="27" t="s">
        <v>197</v>
      </c>
      <c r="X186" s="27" t="s">
        <v>79</v>
      </c>
      <c r="Y186" s="19" t="s">
        <v>154</v>
      </c>
      <c r="Z186" s="19" t="s">
        <v>154</v>
      </c>
      <c r="AA186" s="84" t="s">
        <v>432</v>
      </c>
    </row>
    <row r="187" spans="1:28" s="19" customFormat="1" x14ac:dyDescent="0.2">
      <c r="A187" s="114"/>
      <c r="B187" s="131"/>
      <c r="C187" s="27" t="s">
        <v>9</v>
      </c>
      <c r="D187" s="27" t="s">
        <v>424</v>
      </c>
      <c r="E187" s="27">
        <v>163</v>
      </c>
      <c r="F187" s="27" t="s">
        <v>221</v>
      </c>
      <c r="G187" s="27" t="s">
        <v>168</v>
      </c>
      <c r="H187" s="27" t="s">
        <v>426</v>
      </c>
      <c r="I187" s="27" t="s">
        <v>427</v>
      </c>
      <c r="J187" s="27" t="s">
        <v>428</v>
      </c>
      <c r="K187" s="27" t="s">
        <v>258</v>
      </c>
      <c r="L187" s="27" t="s">
        <v>117</v>
      </c>
      <c r="M187" s="27" t="s">
        <v>152</v>
      </c>
      <c r="N187" s="27" t="s">
        <v>429</v>
      </c>
      <c r="O187" s="27" t="s">
        <v>368</v>
      </c>
      <c r="P187" s="27" t="s">
        <v>132</v>
      </c>
      <c r="Q187" s="27" t="s">
        <v>169</v>
      </c>
      <c r="R187" s="27" t="s">
        <v>287</v>
      </c>
      <c r="S187" s="27" t="s">
        <v>153</v>
      </c>
      <c r="T187" s="27" t="s">
        <v>430</v>
      </c>
      <c r="U187" s="27" t="s">
        <v>232</v>
      </c>
      <c r="V187" s="27" t="s">
        <v>431</v>
      </c>
      <c r="W187" s="27" t="s">
        <v>197</v>
      </c>
      <c r="X187" s="27" t="s">
        <v>79</v>
      </c>
      <c r="Y187" s="27" t="s">
        <v>154</v>
      </c>
      <c r="Z187" s="27" t="s">
        <v>154</v>
      </c>
      <c r="AA187" s="84" t="s">
        <v>432</v>
      </c>
    </row>
    <row r="188" spans="1:28" s="19" customFormat="1" x14ac:dyDescent="0.2">
      <c r="A188" s="114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</row>
    <row r="189" spans="1:28" s="19" customFormat="1" x14ac:dyDescent="0.2">
      <c r="A189" s="114"/>
      <c r="C189" s="7"/>
      <c r="D189" s="27" t="s">
        <v>47</v>
      </c>
      <c r="E189" s="27" t="s">
        <v>48</v>
      </c>
      <c r="F189" s="27" t="s">
        <v>49</v>
      </c>
      <c r="G189" s="27" t="s">
        <v>50</v>
      </c>
      <c r="H189" s="27" t="s">
        <v>51</v>
      </c>
      <c r="I189" s="27" t="s">
        <v>52</v>
      </c>
      <c r="J189" s="27" t="s">
        <v>53</v>
      </c>
      <c r="K189" s="53">
        <v>0.01</v>
      </c>
      <c r="L189" s="53">
        <v>0.05</v>
      </c>
      <c r="M189" s="53">
        <v>0.1</v>
      </c>
      <c r="N189" s="53">
        <v>0.2</v>
      </c>
      <c r="O189" s="54">
        <v>0.3</v>
      </c>
      <c r="P189" s="54">
        <v>0.4</v>
      </c>
      <c r="Q189" s="54">
        <v>0.5</v>
      </c>
      <c r="R189" s="54">
        <v>0.6</v>
      </c>
      <c r="S189" s="54">
        <v>0.7</v>
      </c>
      <c r="T189" s="54">
        <v>0.8</v>
      </c>
      <c r="U189" s="54">
        <v>0.9</v>
      </c>
      <c r="V189" s="54">
        <v>0.95</v>
      </c>
      <c r="W189" s="54">
        <v>0.99</v>
      </c>
      <c r="X189" s="53">
        <v>0.995</v>
      </c>
      <c r="Y189" s="53">
        <v>0.999</v>
      </c>
      <c r="Z189" s="53">
        <v>0.99950000000000006</v>
      </c>
      <c r="AA189" s="53">
        <v>0.99990000000000001</v>
      </c>
    </row>
    <row r="190" spans="1:28" s="19" customFormat="1" x14ac:dyDescent="0.2">
      <c r="A190" s="114"/>
      <c r="B190" s="129" t="s">
        <v>156</v>
      </c>
      <c r="C190" s="19" t="s">
        <v>54</v>
      </c>
      <c r="D190" s="27" t="s">
        <v>590</v>
      </c>
      <c r="E190" s="27" t="s">
        <v>591</v>
      </c>
      <c r="F190" s="27" t="s">
        <v>592</v>
      </c>
      <c r="G190" s="27" t="s">
        <v>95</v>
      </c>
      <c r="H190" s="27" t="s">
        <v>593</v>
      </c>
      <c r="I190" s="27" t="s">
        <v>594</v>
      </c>
      <c r="J190" s="27" t="s">
        <v>595</v>
      </c>
      <c r="K190" s="53" t="s">
        <v>81</v>
      </c>
      <c r="L190" s="53" t="s">
        <v>68</v>
      </c>
      <c r="M190" s="53" t="s">
        <v>68</v>
      </c>
      <c r="N190" s="53" t="s">
        <v>68</v>
      </c>
      <c r="O190" s="54" t="s">
        <v>68</v>
      </c>
      <c r="P190" s="54" t="s">
        <v>244</v>
      </c>
      <c r="Q190" s="54" t="s">
        <v>233</v>
      </c>
      <c r="R190" s="54" t="s">
        <v>111</v>
      </c>
      <c r="S190" s="54" t="s">
        <v>125</v>
      </c>
      <c r="T190" s="54" t="s">
        <v>152</v>
      </c>
      <c r="U190" s="54" t="s">
        <v>342</v>
      </c>
      <c r="V190" s="54" t="s">
        <v>263</v>
      </c>
      <c r="W190" s="54" t="s">
        <v>322</v>
      </c>
      <c r="X190" s="53" t="s">
        <v>596</v>
      </c>
      <c r="Y190" s="53" t="s">
        <v>597</v>
      </c>
      <c r="Z190" s="53" t="s">
        <v>597</v>
      </c>
      <c r="AA190" s="53" t="s">
        <v>597</v>
      </c>
    </row>
    <row r="191" spans="1:28" s="28" customFormat="1" x14ac:dyDescent="0.2">
      <c r="A191" s="114"/>
      <c r="B191" s="130"/>
      <c r="C191" s="23" t="s">
        <v>57</v>
      </c>
      <c r="D191" s="33">
        <f>D194*E191/E194</f>
        <v>6303.7225274725279</v>
      </c>
      <c r="E191" s="23">
        <f>E184*E190/E183</f>
        <v>197.5</v>
      </c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  <c r="AA191" s="81"/>
    </row>
    <row r="192" spans="1:28" s="28" customFormat="1" x14ac:dyDescent="0.2">
      <c r="A192" s="114"/>
      <c r="B192" s="130"/>
      <c r="C192" s="23" t="s">
        <v>56</v>
      </c>
      <c r="D192" s="33">
        <f>D185*D267</f>
        <v>1509.5084589938654</v>
      </c>
      <c r="E192" s="56">
        <f>E185*E267</f>
        <v>46.858528357579594</v>
      </c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  <c r="AA192" s="81"/>
    </row>
    <row r="193" spans="1:28" s="28" customFormat="1" x14ac:dyDescent="0.2">
      <c r="A193" s="114"/>
      <c r="B193" s="130"/>
      <c r="C193" s="23" t="s">
        <v>55</v>
      </c>
      <c r="D193" s="23" t="s">
        <v>439</v>
      </c>
      <c r="E193" s="23" t="s">
        <v>323</v>
      </c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  <c r="AA193" s="81"/>
    </row>
    <row r="194" spans="1:28" s="19" customFormat="1" x14ac:dyDescent="0.2">
      <c r="A194" s="114"/>
      <c r="B194" s="131"/>
      <c r="C194" s="27" t="s">
        <v>9</v>
      </c>
      <c r="D194" s="27" t="s">
        <v>439</v>
      </c>
      <c r="E194" s="27" t="s">
        <v>323</v>
      </c>
      <c r="F194" s="27" t="s">
        <v>91</v>
      </c>
      <c r="G194" s="27" t="s">
        <v>168</v>
      </c>
      <c r="H194" s="27" t="s">
        <v>440</v>
      </c>
      <c r="I194" s="27" t="s">
        <v>441</v>
      </c>
      <c r="J194" s="27" t="s">
        <v>442</v>
      </c>
      <c r="K194" s="27" t="s">
        <v>258</v>
      </c>
      <c r="L194" s="27" t="s">
        <v>117</v>
      </c>
      <c r="M194" s="27" t="s">
        <v>152</v>
      </c>
      <c r="N194" s="27" t="s">
        <v>78</v>
      </c>
      <c r="O194" s="27" t="s">
        <v>429</v>
      </c>
      <c r="P194" s="27" t="s">
        <v>342</v>
      </c>
      <c r="Q194" s="27" t="s">
        <v>131</v>
      </c>
      <c r="R194" s="27" t="s">
        <v>132</v>
      </c>
      <c r="S194" s="27" t="s">
        <v>195</v>
      </c>
      <c r="T194" s="27" t="s">
        <v>183</v>
      </c>
      <c r="U194" s="27" t="s">
        <v>388</v>
      </c>
      <c r="V194" s="27" t="s">
        <v>401</v>
      </c>
      <c r="W194" s="27" t="s">
        <v>417</v>
      </c>
      <c r="X194" s="27" t="s">
        <v>79</v>
      </c>
      <c r="Y194" s="27" t="s">
        <v>154</v>
      </c>
      <c r="Z194" s="27" t="s">
        <v>154</v>
      </c>
      <c r="AA194" s="84" t="s">
        <v>443</v>
      </c>
    </row>
    <row r="195" spans="1:28" s="19" customFormat="1" x14ac:dyDescent="0.2">
      <c r="A195" s="114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</row>
    <row r="196" spans="1:28" s="19" customFormat="1" x14ac:dyDescent="0.2">
      <c r="A196" s="114"/>
      <c r="C196" s="7"/>
      <c r="D196" s="27" t="s">
        <v>47</v>
      </c>
      <c r="E196" s="27" t="s">
        <v>48</v>
      </c>
      <c r="F196" s="27" t="s">
        <v>49</v>
      </c>
      <c r="G196" s="27" t="s">
        <v>50</v>
      </c>
      <c r="H196" s="27" t="s">
        <v>51</v>
      </c>
      <c r="I196" s="27" t="s">
        <v>52</v>
      </c>
      <c r="J196" s="27" t="s">
        <v>53</v>
      </c>
      <c r="K196" s="53">
        <v>0.01</v>
      </c>
      <c r="L196" s="53">
        <v>0.05</v>
      </c>
      <c r="M196" s="53">
        <v>0.1</v>
      </c>
      <c r="N196" s="53">
        <v>0.2</v>
      </c>
      <c r="O196" s="54">
        <v>0.3</v>
      </c>
      <c r="P196" s="54">
        <v>0.4</v>
      </c>
      <c r="Q196" s="54">
        <v>0.5</v>
      </c>
      <c r="R196" s="54">
        <v>0.6</v>
      </c>
      <c r="S196" s="54">
        <v>0.7</v>
      </c>
      <c r="T196" s="54">
        <v>0.8</v>
      </c>
      <c r="U196" s="54">
        <v>0.9</v>
      </c>
      <c r="V196" s="54">
        <v>0.95</v>
      </c>
      <c r="W196" s="54">
        <v>0.99</v>
      </c>
      <c r="X196" s="53">
        <v>0.995</v>
      </c>
      <c r="Y196" s="53">
        <v>0.999</v>
      </c>
      <c r="Z196" s="53">
        <v>0.99950000000000006</v>
      </c>
      <c r="AA196" s="53">
        <v>0.99990000000000001</v>
      </c>
    </row>
    <row r="197" spans="1:28" s="28" customFormat="1" x14ac:dyDescent="0.2">
      <c r="A197" s="114"/>
      <c r="B197" s="129" t="s">
        <v>157</v>
      </c>
      <c r="C197" s="23" t="s">
        <v>54</v>
      </c>
      <c r="D197" s="23">
        <v>2688</v>
      </c>
      <c r="E197" s="23">
        <v>84</v>
      </c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  <c r="AA197" s="81"/>
    </row>
    <row r="198" spans="1:28" s="28" customFormat="1" x14ac:dyDescent="0.2">
      <c r="A198" s="114"/>
      <c r="B198" s="130"/>
      <c r="C198" s="23" t="s">
        <v>57</v>
      </c>
      <c r="D198" s="33">
        <f>D184*E198/E184</f>
        <v>6723.3070866141734</v>
      </c>
      <c r="E198" s="23">
        <f>E184*E197/E183</f>
        <v>210</v>
      </c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  <c r="AA198" s="81"/>
    </row>
    <row r="199" spans="1:28" s="28" customFormat="1" x14ac:dyDescent="0.2">
      <c r="A199" s="114"/>
      <c r="B199" s="130"/>
      <c r="C199" s="23" t="s">
        <v>56</v>
      </c>
      <c r="D199" s="33">
        <f>D185*D268</f>
        <v>2231.2002171096865</v>
      </c>
      <c r="E199" s="56">
        <f>E185*E268</f>
        <v>69.515399211793905</v>
      </c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  <c r="AA199" s="81"/>
    </row>
    <row r="200" spans="1:28" s="19" customFormat="1" x14ac:dyDescent="0.2">
      <c r="A200" s="114"/>
      <c r="B200" s="130"/>
      <c r="C200" s="27" t="s">
        <v>55</v>
      </c>
      <c r="D200" s="27"/>
      <c r="E200" s="27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  <c r="AA200" s="84"/>
    </row>
    <row r="201" spans="1:28" s="19" customFormat="1" ht="16.5" customHeight="1" x14ac:dyDescent="0.2">
      <c r="A201" s="114"/>
      <c r="B201" s="131"/>
      <c r="C201" s="27" t="s">
        <v>9</v>
      </c>
      <c r="D201" s="27" t="s">
        <v>433</v>
      </c>
      <c r="E201" s="27" t="s">
        <v>401</v>
      </c>
      <c r="F201" s="27" t="s">
        <v>434</v>
      </c>
      <c r="G201" s="27" t="s">
        <v>218</v>
      </c>
      <c r="H201" s="27" t="s">
        <v>435</v>
      </c>
      <c r="I201" s="27" t="s">
        <v>436</v>
      </c>
      <c r="J201" s="27" t="s">
        <v>437</v>
      </c>
      <c r="K201" s="27" t="s">
        <v>258</v>
      </c>
      <c r="L201" s="27" t="s">
        <v>237</v>
      </c>
      <c r="M201" s="27" t="s">
        <v>182</v>
      </c>
      <c r="N201" s="27" t="s">
        <v>227</v>
      </c>
      <c r="O201" s="27" t="s">
        <v>78</v>
      </c>
      <c r="P201" s="27" t="s">
        <v>128</v>
      </c>
      <c r="Q201" s="27" t="s">
        <v>429</v>
      </c>
      <c r="R201" s="27" t="s">
        <v>129</v>
      </c>
      <c r="S201" s="27" t="s">
        <v>130</v>
      </c>
      <c r="T201" s="27" t="s">
        <v>238</v>
      </c>
      <c r="U201" s="27" t="s">
        <v>134</v>
      </c>
      <c r="V201" s="27" t="s">
        <v>438</v>
      </c>
      <c r="W201" s="27" t="s">
        <v>171</v>
      </c>
      <c r="X201" s="27" t="s">
        <v>79</v>
      </c>
      <c r="Y201" s="27" t="s">
        <v>154</v>
      </c>
      <c r="Z201" s="27" t="s">
        <v>154</v>
      </c>
      <c r="AA201" s="84" t="s">
        <v>346</v>
      </c>
      <c r="AB201" s="11"/>
    </row>
    <row r="202" spans="1:28" s="19" customFormat="1" x14ac:dyDescent="0.2">
      <c r="A202" s="114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AB202" s="7"/>
    </row>
    <row r="203" spans="1:28" s="19" customFormat="1" x14ac:dyDescent="0.2">
      <c r="A203" s="114"/>
      <c r="C203" s="7"/>
      <c r="D203" s="27" t="s">
        <v>47</v>
      </c>
      <c r="E203" s="27" t="s">
        <v>48</v>
      </c>
      <c r="F203" s="27" t="s">
        <v>49</v>
      </c>
      <c r="G203" s="27" t="s">
        <v>50</v>
      </c>
      <c r="H203" s="27" t="s">
        <v>51</v>
      </c>
      <c r="I203" s="27" t="s">
        <v>52</v>
      </c>
      <c r="J203" s="27" t="s">
        <v>53</v>
      </c>
      <c r="K203" s="53">
        <v>0.01</v>
      </c>
      <c r="L203" s="53">
        <v>0.05</v>
      </c>
      <c r="M203" s="53">
        <v>0.1</v>
      </c>
      <c r="N203" s="53">
        <v>0.2</v>
      </c>
      <c r="O203" s="54">
        <v>0.3</v>
      </c>
      <c r="P203" s="54">
        <v>0.4</v>
      </c>
      <c r="Q203" s="54">
        <v>0.5</v>
      </c>
      <c r="R203" s="54">
        <v>0.6</v>
      </c>
      <c r="S203" s="54">
        <v>0.7</v>
      </c>
      <c r="T203" s="54">
        <v>0.8</v>
      </c>
      <c r="U203" s="54">
        <v>0.9</v>
      </c>
      <c r="V203" s="54">
        <v>0.95</v>
      </c>
      <c r="W203" s="54">
        <v>0.99</v>
      </c>
      <c r="X203" s="53">
        <v>0.995</v>
      </c>
      <c r="Y203" s="53">
        <v>0.999</v>
      </c>
      <c r="Z203" s="53">
        <v>0.99950000000000006</v>
      </c>
      <c r="AA203" s="53">
        <v>0.99990000000000001</v>
      </c>
      <c r="AB203" s="7"/>
    </row>
    <row r="204" spans="1:28" s="19" customFormat="1" x14ac:dyDescent="0.2">
      <c r="A204" s="114"/>
      <c r="B204" s="129" t="s">
        <v>158</v>
      </c>
      <c r="C204" s="27" t="s">
        <v>54</v>
      </c>
      <c r="D204" s="27">
        <v>2690</v>
      </c>
      <c r="E204" s="27">
        <v>84.1</v>
      </c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  <c r="AA204" s="84"/>
      <c r="AB204" s="7"/>
    </row>
    <row r="205" spans="1:28" s="28" customFormat="1" x14ac:dyDescent="0.2">
      <c r="A205" s="114"/>
      <c r="B205" s="130"/>
      <c r="C205" s="23" t="s">
        <v>57</v>
      </c>
      <c r="D205" s="33">
        <f>D184*E205/E184</f>
        <v>7171.5275590551182</v>
      </c>
      <c r="E205" s="23">
        <v>224</v>
      </c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  <c r="AA205" s="81"/>
      <c r="AB205" s="12"/>
    </row>
    <row r="206" spans="1:28" s="28" customFormat="1" x14ac:dyDescent="0.2">
      <c r="A206" s="114"/>
      <c r="B206" s="130"/>
      <c r="C206" s="23" t="s">
        <v>56</v>
      </c>
      <c r="D206" s="33">
        <f>D185*D269</f>
        <v>2910.5306837684593</v>
      </c>
      <c r="E206" s="56">
        <f>E185*E269</f>
        <v>90.627483416857231</v>
      </c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  <c r="AA206" s="81"/>
      <c r="AB206" s="12"/>
    </row>
    <row r="207" spans="1:28" s="28" customFormat="1" x14ac:dyDescent="0.2">
      <c r="A207" s="114"/>
      <c r="B207" s="130"/>
      <c r="C207" s="23" t="s">
        <v>55</v>
      </c>
      <c r="D207" s="23" t="s">
        <v>444</v>
      </c>
      <c r="E207" s="23" t="s">
        <v>410</v>
      </c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  <c r="AA207" s="81"/>
      <c r="AB207" s="12"/>
    </row>
    <row r="208" spans="1:28" s="19" customFormat="1" x14ac:dyDescent="0.2">
      <c r="A208" s="114"/>
      <c r="B208" s="131"/>
      <c r="C208" s="27" t="s">
        <v>9</v>
      </c>
      <c r="D208" s="27" t="s">
        <v>444</v>
      </c>
      <c r="E208" s="27" t="s">
        <v>410</v>
      </c>
      <c r="F208" s="27" t="s">
        <v>272</v>
      </c>
      <c r="G208" s="27" t="s">
        <v>168</v>
      </c>
      <c r="H208" s="27" t="s">
        <v>445</v>
      </c>
      <c r="I208" s="27" t="s">
        <v>446</v>
      </c>
      <c r="J208" s="27" t="s">
        <v>447</v>
      </c>
      <c r="K208" s="27" t="s">
        <v>258</v>
      </c>
      <c r="L208" s="27" t="s">
        <v>125</v>
      </c>
      <c r="M208" s="27" t="s">
        <v>182</v>
      </c>
      <c r="N208" s="27" t="s">
        <v>448</v>
      </c>
      <c r="O208" s="27" t="s">
        <v>129</v>
      </c>
      <c r="P208" s="27" t="s">
        <v>368</v>
      </c>
      <c r="Q208" s="27" t="s">
        <v>132</v>
      </c>
      <c r="R208" s="27" t="s">
        <v>133</v>
      </c>
      <c r="S208" s="27" t="s">
        <v>141</v>
      </c>
      <c r="T208" s="27" t="s">
        <v>438</v>
      </c>
      <c r="U208" s="27" t="s">
        <v>91</v>
      </c>
      <c r="V208" s="27" t="s">
        <v>449</v>
      </c>
      <c r="W208" s="27" t="s">
        <v>92</v>
      </c>
      <c r="X208" s="27" t="s">
        <v>80</v>
      </c>
      <c r="Y208" s="27" t="s">
        <v>154</v>
      </c>
      <c r="Z208" s="27" t="s">
        <v>450</v>
      </c>
      <c r="AA208" s="84" t="s">
        <v>451</v>
      </c>
      <c r="AB208" s="7"/>
    </row>
    <row r="209" spans="1:52" x14ac:dyDescent="0.2">
      <c r="A209" s="114"/>
      <c r="B209" s="7"/>
    </row>
    <row r="210" spans="1:52" x14ac:dyDescent="0.2">
      <c r="A210" s="114"/>
      <c r="B210" s="7"/>
    </row>
    <row r="211" spans="1:52" x14ac:dyDescent="0.2">
      <c r="A211" s="114"/>
      <c r="C211" s="14"/>
      <c r="D211" s="24" t="s">
        <v>47</v>
      </c>
      <c r="E211" s="24" t="s">
        <v>48</v>
      </c>
      <c r="F211" s="24" t="s">
        <v>49</v>
      </c>
      <c r="G211" s="24" t="s">
        <v>50</v>
      </c>
      <c r="H211" s="24" t="s">
        <v>51</v>
      </c>
      <c r="I211" s="24" t="s">
        <v>52</v>
      </c>
      <c r="J211" s="24" t="s">
        <v>53</v>
      </c>
      <c r="K211" s="35">
        <v>0.01</v>
      </c>
      <c r="L211" s="35">
        <v>0.05</v>
      </c>
      <c r="M211" s="35">
        <v>0.1</v>
      </c>
      <c r="N211" s="35">
        <v>0.2</v>
      </c>
      <c r="O211" s="36">
        <v>0.3</v>
      </c>
      <c r="P211" s="36">
        <v>0.4</v>
      </c>
      <c r="Q211" s="36">
        <v>0.5</v>
      </c>
      <c r="R211" s="36">
        <v>0.6</v>
      </c>
      <c r="S211" s="36">
        <v>0.7</v>
      </c>
      <c r="T211" s="36">
        <v>0.8</v>
      </c>
      <c r="U211" s="36">
        <v>0.9</v>
      </c>
      <c r="V211" s="36">
        <v>0.95</v>
      </c>
      <c r="W211" s="36">
        <v>0.99</v>
      </c>
      <c r="X211" s="35">
        <v>0.995</v>
      </c>
      <c r="Y211" s="35">
        <v>0.999</v>
      </c>
      <c r="Z211" s="96">
        <v>0.99950000000000006</v>
      </c>
      <c r="AA211" s="35">
        <v>0.99990000000000001</v>
      </c>
    </row>
    <row r="212" spans="1:52" x14ac:dyDescent="0.2">
      <c r="A212" s="114"/>
      <c r="B212" s="112" t="s">
        <v>420</v>
      </c>
      <c r="C212" s="24" t="s">
        <v>54</v>
      </c>
      <c r="D212" s="24">
        <f>28.2</f>
        <v>28.2</v>
      </c>
      <c r="E212" s="24">
        <v>883</v>
      </c>
      <c r="F212" s="24">
        <f>926</f>
        <v>926</v>
      </c>
      <c r="G212" s="24" t="s">
        <v>82</v>
      </c>
      <c r="H212" s="24" t="s">
        <v>83</v>
      </c>
      <c r="I212" s="24" t="s">
        <v>84</v>
      </c>
      <c r="J212" s="24" t="s">
        <v>85</v>
      </c>
      <c r="K212" s="37" t="s">
        <v>68</v>
      </c>
      <c r="L212" s="37" t="s">
        <v>86</v>
      </c>
      <c r="M212" s="37" t="s">
        <v>86</v>
      </c>
      <c r="N212" s="37" t="s">
        <v>87</v>
      </c>
      <c r="O212" s="37" t="s">
        <v>87</v>
      </c>
      <c r="P212" s="37" t="s">
        <v>88</v>
      </c>
      <c r="Q212" s="37" t="s">
        <v>89</v>
      </c>
      <c r="R212" s="37" t="s">
        <v>242</v>
      </c>
      <c r="S212" s="37" t="s">
        <v>243</v>
      </c>
      <c r="T212" s="37" t="s">
        <v>252</v>
      </c>
      <c r="U212" s="37" t="s">
        <v>254</v>
      </c>
      <c r="V212" s="37" t="s">
        <v>75</v>
      </c>
      <c r="W212" s="37" t="s">
        <v>108</v>
      </c>
      <c r="X212" s="37" t="s">
        <v>111</v>
      </c>
      <c r="Y212" s="37" t="s">
        <v>168</v>
      </c>
      <c r="Z212" s="37" t="s">
        <v>227</v>
      </c>
      <c r="AA212" s="44" t="s">
        <v>425</v>
      </c>
    </row>
    <row r="213" spans="1:52" x14ac:dyDescent="0.2">
      <c r="A213" s="114"/>
      <c r="B213" s="112"/>
      <c r="C213" s="24" t="s">
        <v>57</v>
      </c>
      <c r="D213" s="58">
        <f>D212*E213/E212</f>
        <v>32.621760000000002</v>
      </c>
      <c r="E213" s="57">
        <f>E212*1.1568</f>
        <v>1021.4544000000001</v>
      </c>
      <c r="F213" s="24"/>
      <c r="G213" s="24"/>
      <c r="H213" s="24"/>
      <c r="I213" s="24"/>
      <c r="J213" s="24"/>
      <c r="K213" s="57">
        <f>K219*1169/1021</f>
        <v>24.044074436826641</v>
      </c>
      <c r="L213" s="57">
        <f t="shared" ref="L213:Y213" si="9">L219*1169/1021</f>
        <v>24.044074436826641</v>
      </c>
      <c r="M213" s="57">
        <f t="shared" si="9"/>
        <v>25.189030362389815</v>
      </c>
      <c r="N213" s="57">
        <f t="shared" si="9"/>
        <v>25.189030362389815</v>
      </c>
      <c r="O213" s="57">
        <f t="shared" si="9"/>
        <v>26.333986287952989</v>
      </c>
      <c r="P213" s="57">
        <f t="shared" si="9"/>
        <v>26.333986287952989</v>
      </c>
      <c r="Q213" s="57">
        <f t="shared" si="9"/>
        <v>27.478942213516159</v>
      </c>
      <c r="R213" s="57">
        <f t="shared" si="9"/>
        <v>29.768854064642507</v>
      </c>
      <c r="S213" s="57">
        <f t="shared" si="9"/>
        <v>33.203721841332026</v>
      </c>
      <c r="T213" s="57">
        <f t="shared" si="9"/>
        <v>34.3486777668952</v>
      </c>
      <c r="U213" s="57">
        <f t="shared" si="9"/>
        <v>35.493633692458374</v>
      </c>
      <c r="V213" s="57">
        <f t="shared" si="9"/>
        <v>42.363369245837411</v>
      </c>
      <c r="W213" s="57">
        <f t="shared" si="9"/>
        <v>52.667972575905978</v>
      </c>
      <c r="X213" s="57">
        <f t="shared" si="9"/>
        <v>60.682664054848189</v>
      </c>
      <c r="Y213" s="57">
        <f t="shared" si="9"/>
        <v>72.132223310479915</v>
      </c>
      <c r="Z213" s="57">
        <f>Z219*1169/1021</f>
        <v>81.291870714985308</v>
      </c>
      <c r="AA213" s="57">
        <f>85</f>
        <v>85</v>
      </c>
    </row>
    <row r="214" spans="1:52" x14ac:dyDescent="0.2">
      <c r="A214" s="114"/>
      <c r="B214" s="112"/>
      <c r="C214" s="24" t="s">
        <v>56</v>
      </c>
      <c r="D214" s="44">
        <v>8.09</v>
      </c>
      <c r="E214" s="44">
        <v>258</v>
      </c>
      <c r="F214" s="72"/>
      <c r="G214" s="24"/>
      <c r="H214" s="24"/>
      <c r="I214" s="24"/>
      <c r="J214" s="24"/>
      <c r="K214" s="24" t="s">
        <v>268</v>
      </c>
      <c r="L214" s="24" t="s">
        <v>96</v>
      </c>
      <c r="M214" s="24" t="s">
        <v>98</v>
      </c>
      <c r="N214" s="24" t="s">
        <v>81</v>
      </c>
      <c r="O214" s="24" t="s">
        <v>81</v>
      </c>
      <c r="P214" s="24" t="s">
        <v>68</v>
      </c>
      <c r="Q214" s="24" t="s">
        <v>87</v>
      </c>
      <c r="R214" s="24" t="s">
        <v>242</v>
      </c>
      <c r="S214" s="24" t="s">
        <v>254</v>
      </c>
      <c r="T214" s="24" t="s">
        <v>217</v>
      </c>
      <c r="U214" s="57">
        <v>670.99224806201551</v>
      </c>
      <c r="V214" s="57">
        <v>714.79069767441865</v>
      </c>
      <c r="W214" s="57">
        <v>728.80620155038764</v>
      </c>
      <c r="X214" s="57">
        <v>757.71317829457359</v>
      </c>
      <c r="Y214" s="57">
        <v>1242.1240310077519</v>
      </c>
      <c r="Z214" s="98">
        <v>2052.3953488372094</v>
      </c>
      <c r="AA214" s="57">
        <v>3659.7984496124</v>
      </c>
    </row>
    <row r="215" spans="1:52" x14ac:dyDescent="0.2">
      <c r="A215" s="114"/>
      <c r="B215" s="112"/>
      <c r="C215" s="24" t="s">
        <v>55</v>
      </c>
      <c r="D215" s="86">
        <v>22.3</v>
      </c>
      <c r="E215" s="57">
        <f>E216*(1-0.28786)</f>
        <v>702.88217999999995</v>
      </c>
      <c r="F215" s="86" t="s">
        <v>750</v>
      </c>
      <c r="G215" s="86" t="s">
        <v>81</v>
      </c>
      <c r="H215" s="86" t="s">
        <v>751</v>
      </c>
      <c r="I215" s="86" t="s">
        <v>752</v>
      </c>
      <c r="J215" s="86" t="s">
        <v>753</v>
      </c>
      <c r="K215" s="86" t="s">
        <v>87</v>
      </c>
      <c r="L215" s="86" t="s">
        <v>88</v>
      </c>
      <c r="M215" s="86" t="s">
        <v>89</v>
      </c>
      <c r="N215" s="86" t="s">
        <v>242</v>
      </c>
      <c r="O215" s="86" t="s">
        <v>243</v>
      </c>
      <c r="P215" s="86" t="s">
        <v>243</v>
      </c>
      <c r="Q215" s="86" t="s">
        <v>252</v>
      </c>
      <c r="R215" s="86" t="s">
        <v>244</v>
      </c>
      <c r="S215" s="86" t="s">
        <v>244</v>
      </c>
      <c r="T215" s="86" t="s">
        <v>69</v>
      </c>
      <c r="U215" s="86" t="s">
        <v>75</v>
      </c>
      <c r="V215" s="86" t="s">
        <v>106</v>
      </c>
      <c r="W215" s="86" t="s">
        <v>547</v>
      </c>
      <c r="X215" s="86" t="s">
        <v>651</v>
      </c>
      <c r="Y215" s="86" t="s">
        <v>382</v>
      </c>
      <c r="Z215" s="86" t="s">
        <v>726</v>
      </c>
      <c r="AA215" s="86" t="s">
        <v>754</v>
      </c>
      <c r="AC215" s="24"/>
      <c r="AD215" s="58"/>
      <c r="AE215" s="24"/>
      <c r="AF215" s="24"/>
      <c r="AG215" s="24"/>
      <c r="AH215" s="24"/>
      <c r="AI215" s="24"/>
      <c r="AJ215" s="24"/>
      <c r="AK215" s="24"/>
      <c r="AL215" s="24"/>
      <c r="AM215" s="24"/>
      <c r="AN215" s="24"/>
      <c r="AO215" s="24"/>
      <c r="AP215" s="24"/>
      <c r="AQ215" s="24"/>
      <c r="AR215" s="24"/>
      <c r="AS215" s="24"/>
      <c r="AT215" s="24"/>
      <c r="AU215" s="24"/>
      <c r="AV215" s="24"/>
      <c r="AW215" s="24"/>
      <c r="AZ215" s="82"/>
    </row>
    <row r="216" spans="1:52" x14ac:dyDescent="0.2">
      <c r="A216" s="114"/>
      <c r="B216" s="112"/>
      <c r="C216" s="24" t="s">
        <v>9</v>
      </c>
      <c r="D216" s="24">
        <v>31.6</v>
      </c>
      <c r="E216" s="24">
        <v>987</v>
      </c>
      <c r="F216" s="24">
        <v>1035</v>
      </c>
      <c r="G216" s="24">
        <v>17</v>
      </c>
      <c r="H216" s="24">
        <v>149</v>
      </c>
      <c r="I216" s="24">
        <v>25.49</v>
      </c>
      <c r="J216" s="24">
        <v>19</v>
      </c>
      <c r="K216" s="24">
        <v>21</v>
      </c>
      <c r="L216" s="24">
        <v>22</v>
      </c>
      <c r="M216" s="24">
        <v>23</v>
      </c>
      <c r="N216" s="24">
        <v>24</v>
      </c>
      <c r="O216" s="24">
        <v>24</v>
      </c>
      <c r="P216" s="24">
        <v>25</v>
      </c>
      <c r="Q216" s="24">
        <v>25</v>
      </c>
      <c r="R216" s="24">
        <v>25</v>
      </c>
      <c r="S216" s="24">
        <v>26</v>
      </c>
      <c r="T216" s="24">
        <v>26</v>
      </c>
      <c r="U216" s="24">
        <v>28</v>
      </c>
      <c r="V216" s="24">
        <v>33</v>
      </c>
      <c r="W216" s="24">
        <v>45</v>
      </c>
      <c r="X216" s="24">
        <v>55</v>
      </c>
      <c r="Y216" s="24">
        <v>66</v>
      </c>
      <c r="Z216" s="97">
        <v>72</v>
      </c>
      <c r="AA216" s="82">
        <v>93</v>
      </c>
    </row>
    <row r="217" spans="1:52" x14ac:dyDescent="0.2">
      <c r="A217" s="114"/>
      <c r="B217" s="13"/>
      <c r="C217" s="13"/>
      <c r="D217" s="13"/>
      <c r="E217" s="13"/>
      <c r="F217" s="13"/>
    </row>
    <row r="218" spans="1:52" x14ac:dyDescent="0.2">
      <c r="A218" s="114"/>
      <c r="C218" s="14"/>
      <c r="D218" s="24" t="s">
        <v>47</v>
      </c>
      <c r="E218" s="24" t="s">
        <v>48</v>
      </c>
      <c r="F218" s="24" t="s">
        <v>49</v>
      </c>
      <c r="G218" s="24" t="s">
        <v>50</v>
      </c>
      <c r="H218" s="24" t="s">
        <v>51</v>
      </c>
      <c r="I218" s="24" t="s">
        <v>52</v>
      </c>
      <c r="J218" s="24" t="s">
        <v>53</v>
      </c>
      <c r="K218" s="35">
        <v>0.01</v>
      </c>
      <c r="L218" s="35">
        <v>0.05</v>
      </c>
      <c r="M218" s="35">
        <v>0.1</v>
      </c>
      <c r="N218" s="35">
        <v>0.2</v>
      </c>
      <c r="O218" s="36">
        <v>0.3</v>
      </c>
      <c r="P218" s="36">
        <v>0.4</v>
      </c>
      <c r="Q218" s="36">
        <v>0.5</v>
      </c>
      <c r="R218" s="36">
        <v>0.6</v>
      </c>
      <c r="S218" s="36">
        <v>0.7</v>
      </c>
      <c r="T218" s="36">
        <v>0.8</v>
      </c>
      <c r="U218" s="36">
        <v>0.9</v>
      </c>
      <c r="V218" s="36">
        <v>0.95</v>
      </c>
      <c r="W218" s="36">
        <v>0.99</v>
      </c>
      <c r="X218" s="35">
        <v>0.995</v>
      </c>
      <c r="Y218" s="35">
        <v>0.999</v>
      </c>
      <c r="Z218" s="96">
        <v>0.99950000000000006</v>
      </c>
      <c r="AA218" s="35">
        <v>0.99990000000000001</v>
      </c>
      <c r="AB218" s="28"/>
    </row>
    <row r="219" spans="1:52" x14ac:dyDescent="0.2">
      <c r="A219" s="114"/>
      <c r="B219" s="112" t="s">
        <v>421</v>
      </c>
      <c r="C219" s="24" t="s">
        <v>54</v>
      </c>
      <c r="D219" s="37">
        <v>37.4</v>
      </c>
      <c r="E219" s="37" t="s">
        <v>598</v>
      </c>
      <c r="F219" s="37" t="s">
        <v>599</v>
      </c>
      <c r="G219" s="37" t="s">
        <v>452</v>
      </c>
      <c r="H219" s="37" t="s">
        <v>600</v>
      </c>
      <c r="I219" s="37" t="s">
        <v>601</v>
      </c>
      <c r="J219" s="37"/>
      <c r="K219" s="37" t="s">
        <v>95</v>
      </c>
      <c r="L219" s="37" t="s">
        <v>95</v>
      </c>
      <c r="M219" s="37" t="s">
        <v>251</v>
      </c>
      <c r="N219" s="37" t="s">
        <v>251</v>
      </c>
      <c r="O219" s="37" t="s">
        <v>96</v>
      </c>
      <c r="P219" s="37" t="s">
        <v>96</v>
      </c>
      <c r="Q219" s="37" t="s">
        <v>97</v>
      </c>
      <c r="R219" s="37" t="s">
        <v>82</v>
      </c>
      <c r="S219" s="37" t="s">
        <v>68</v>
      </c>
      <c r="T219" s="37" t="s">
        <v>86</v>
      </c>
      <c r="U219" s="37" t="s">
        <v>87</v>
      </c>
      <c r="V219" s="37" t="s">
        <v>244</v>
      </c>
      <c r="W219" s="37" t="s">
        <v>74</v>
      </c>
      <c r="X219" s="37" t="s">
        <v>233</v>
      </c>
      <c r="Y219" s="37" t="s">
        <v>110</v>
      </c>
      <c r="Z219" s="37" t="s">
        <v>207</v>
      </c>
      <c r="AA219" s="44" t="s">
        <v>425</v>
      </c>
      <c r="AB219" s="28"/>
    </row>
    <row r="220" spans="1:52" x14ac:dyDescent="0.2">
      <c r="A220" s="114"/>
      <c r="B220" s="112"/>
      <c r="C220" s="24" t="s">
        <v>57</v>
      </c>
      <c r="D220" s="58">
        <f>D223*E220/E223</f>
        <v>43.310434344122662</v>
      </c>
      <c r="E220" s="58">
        <f>E213*E219/E212</f>
        <v>1352.2992000000002</v>
      </c>
      <c r="F220" s="24"/>
      <c r="G220" s="24"/>
      <c r="H220" s="24"/>
      <c r="I220" s="24"/>
      <c r="J220" s="24"/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24"/>
      <c r="V220" s="24"/>
      <c r="W220" s="24"/>
      <c r="X220" s="24"/>
      <c r="Y220" s="24"/>
      <c r="Z220" s="97"/>
      <c r="AA220" s="82"/>
      <c r="AB220" s="28"/>
    </row>
    <row r="221" spans="1:52" x14ac:dyDescent="0.2">
      <c r="A221" s="114"/>
      <c r="B221" s="112"/>
      <c r="C221" s="24" t="s">
        <v>56</v>
      </c>
      <c r="D221" s="58">
        <f>D214*2.55</f>
        <v>20.629499999999997</v>
      </c>
      <c r="E221" s="57">
        <f>E214*2.61</f>
        <v>673.38</v>
      </c>
      <c r="F221" s="24"/>
      <c r="G221" s="24"/>
      <c r="H221" s="24"/>
      <c r="I221" s="24"/>
      <c r="J221" s="24"/>
      <c r="K221" s="24"/>
      <c r="L221" s="24"/>
      <c r="M221" s="24"/>
      <c r="N221" s="24"/>
      <c r="O221" s="24"/>
      <c r="P221" s="24"/>
      <c r="Q221" s="24"/>
      <c r="R221" s="24"/>
      <c r="S221" s="24"/>
      <c r="T221" s="24"/>
      <c r="U221" s="24"/>
      <c r="V221" s="24"/>
      <c r="W221" s="24"/>
      <c r="X221" s="24"/>
      <c r="Y221" s="24"/>
      <c r="Z221" s="97"/>
      <c r="AA221" s="82"/>
      <c r="AB221" s="28"/>
    </row>
    <row r="222" spans="1:52" x14ac:dyDescent="0.2">
      <c r="A222" s="114"/>
      <c r="B222" s="112"/>
      <c r="C222" s="24" t="s">
        <v>55</v>
      </c>
      <c r="D222" s="58">
        <f>D223*E222/E223</f>
        <v>26.776464000000001</v>
      </c>
      <c r="E222" s="58">
        <f>E223*(1-0.28786)</f>
        <v>836.05236000000002</v>
      </c>
      <c r="F222" s="24"/>
      <c r="G222" s="24"/>
      <c r="H222" s="24"/>
      <c r="I222" s="24"/>
      <c r="J222" s="24"/>
      <c r="K222" s="24"/>
      <c r="L222" s="24"/>
      <c r="M222" s="24"/>
      <c r="N222" s="24"/>
      <c r="O222" s="24"/>
      <c r="P222" s="24"/>
      <c r="Q222" s="24"/>
      <c r="R222" s="24"/>
      <c r="S222" s="24"/>
      <c r="T222" s="24"/>
      <c r="U222" s="24"/>
      <c r="V222" s="24"/>
      <c r="W222" s="24"/>
      <c r="X222" s="24"/>
      <c r="Y222" s="24"/>
      <c r="Z222" s="97"/>
      <c r="AA222" s="82"/>
      <c r="AB222" s="28"/>
    </row>
    <row r="223" spans="1:52" x14ac:dyDescent="0.2">
      <c r="A223" s="114"/>
      <c r="B223" s="112"/>
      <c r="C223" s="24" t="s">
        <v>9</v>
      </c>
      <c r="D223" s="24">
        <v>37.6</v>
      </c>
      <c r="E223" s="24">
        <v>1174</v>
      </c>
      <c r="F223" s="24">
        <v>1231</v>
      </c>
      <c r="G223" s="24" t="s">
        <v>452</v>
      </c>
      <c r="H223" s="24" t="s">
        <v>453</v>
      </c>
      <c r="I223" s="24" t="s">
        <v>454</v>
      </c>
      <c r="J223" s="24" t="s">
        <v>455</v>
      </c>
      <c r="K223" s="24" t="s">
        <v>251</v>
      </c>
      <c r="L223" s="24" t="s">
        <v>251</v>
      </c>
      <c r="M223" s="24" t="s">
        <v>96</v>
      </c>
      <c r="N223" s="24" t="s">
        <v>81</v>
      </c>
      <c r="O223" s="24" t="s">
        <v>87</v>
      </c>
      <c r="P223" s="24" t="s">
        <v>87</v>
      </c>
      <c r="Q223" s="24" t="s">
        <v>88</v>
      </c>
      <c r="R223" s="24" t="s">
        <v>88</v>
      </c>
      <c r="S223" s="24" t="s">
        <v>89</v>
      </c>
      <c r="T223" s="24" t="s">
        <v>242</v>
      </c>
      <c r="U223" s="24" t="s">
        <v>243</v>
      </c>
      <c r="V223" s="24" t="s">
        <v>456</v>
      </c>
      <c r="W223" s="24" t="s">
        <v>233</v>
      </c>
      <c r="X223" s="24" t="s">
        <v>109</v>
      </c>
      <c r="Y223" s="24" t="s">
        <v>165</v>
      </c>
      <c r="Z223" s="97" t="s">
        <v>245</v>
      </c>
      <c r="AA223" s="82" t="s">
        <v>352</v>
      </c>
      <c r="AB223" s="28"/>
    </row>
    <row r="224" spans="1:52" x14ac:dyDescent="0.2">
      <c r="A224" s="114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</row>
    <row r="225" spans="1:28" x14ac:dyDescent="0.2">
      <c r="A225" s="114"/>
      <c r="C225" s="14"/>
      <c r="D225" s="24" t="s">
        <v>47</v>
      </c>
      <c r="E225" s="24" t="s">
        <v>48</v>
      </c>
      <c r="F225" s="24" t="s">
        <v>49</v>
      </c>
      <c r="G225" s="24" t="s">
        <v>50</v>
      </c>
      <c r="H225" s="24" t="s">
        <v>51</v>
      </c>
      <c r="I225" s="24" t="s">
        <v>52</v>
      </c>
      <c r="J225" s="24" t="s">
        <v>53</v>
      </c>
      <c r="K225" s="35">
        <v>0.01</v>
      </c>
      <c r="L225" s="35">
        <v>0.05</v>
      </c>
      <c r="M225" s="35">
        <v>0.1</v>
      </c>
      <c r="N225" s="35">
        <v>0.2</v>
      </c>
      <c r="O225" s="36">
        <v>0.3</v>
      </c>
      <c r="P225" s="36">
        <v>0.4</v>
      </c>
      <c r="Q225" s="36">
        <v>0.5</v>
      </c>
      <c r="R225" s="36">
        <v>0.6</v>
      </c>
      <c r="S225" s="36">
        <v>0.7</v>
      </c>
      <c r="T225" s="36">
        <v>0.8</v>
      </c>
      <c r="U225" s="36">
        <v>0.9</v>
      </c>
      <c r="V225" s="36">
        <v>0.95</v>
      </c>
      <c r="W225" s="36">
        <v>0.99</v>
      </c>
      <c r="X225" s="35">
        <v>0.995</v>
      </c>
      <c r="Y225" s="35">
        <v>0.999</v>
      </c>
      <c r="Z225" s="35">
        <v>0.99950000000000006</v>
      </c>
      <c r="AA225" s="35">
        <v>0.99990000000000001</v>
      </c>
    </row>
    <row r="226" spans="1:28" x14ac:dyDescent="0.2">
      <c r="A226" s="114"/>
      <c r="B226" s="112" t="s">
        <v>422</v>
      </c>
      <c r="C226" s="24" t="s">
        <v>54</v>
      </c>
      <c r="D226" s="24">
        <v>39.9</v>
      </c>
      <c r="E226" s="24" t="s">
        <v>602</v>
      </c>
      <c r="F226" s="24" t="s">
        <v>603</v>
      </c>
      <c r="G226" s="24" t="s">
        <v>265</v>
      </c>
      <c r="H226" s="24" t="s">
        <v>604</v>
      </c>
      <c r="I226" s="24" t="s">
        <v>605</v>
      </c>
      <c r="J226" s="24" t="s">
        <v>606</v>
      </c>
      <c r="K226" s="24" t="s">
        <v>251</v>
      </c>
      <c r="L226" s="24" t="s">
        <v>98</v>
      </c>
      <c r="M226" s="24" t="s">
        <v>241</v>
      </c>
      <c r="N226" s="24" t="s">
        <v>68</v>
      </c>
      <c r="O226" s="24" t="s">
        <v>87</v>
      </c>
      <c r="P226" s="24" t="s">
        <v>89</v>
      </c>
      <c r="Q226" s="24" t="s">
        <v>244</v>
      </c>
      <c r="R226" s="24" t="s">
        <v>456</v>
      </c>
      <c r="S226" s="24" t="s">
        <v>72</v>
      </c>
      <c r="T226" s="24" t="s">
        <v>73</v>
      </c>
      <c r="U226" s="24" t="s">
        <v>177</v>
      </c>
      <c r="V226" s="24" t="s">
        <v>76</v>
      </c>
      <c r="W226" s="24" t="s">
        <v>194</v>
      </c>
      <c r="X226" s="24" t="s">
        <v>147</v>
      </c>
      <c r="Y226" s="24" t="s">
        <v>124</v>
      </c>
      <c r="Z226" s="24" t="s">
        <v>237</v>
      </c>
      <c r="AA226" s="24" t="s">
        <v>498</v>
      </c>
    </row>
    <row r="227" spans="1:28" x14ac:dyDescent="0.2">
      <c r="A227" s="114"/>
      <c r="B227" s="112"/>
      <c r="C227" s="24" t="s">
        <v>57</v>
      </c>
      <c r="D227" s="58">
        <f>D230*E227/E230</f>
        <v>49.054648996960495</v>
      </c>
      <c r="E227" s="58">
        <f>E213*E230/E216</f>
        <v>1534.7688705167175</v>
      </c>
      <c r="F227" s="24"/>
      <c r="G227" s="24"/>
      <c r="H227" s="24"/>
      <c r="I227" s="24"/>
      <c r="J227" s="24"/>
      <c r="K227" s="24"/>
      <c r="L227" s="24"/>
      <c r="M227" s="24"/>
      <c r="N227" s="24"/>
      <c r="O227" s="24"/>
      <c r="P227" s="24"/>
      <c r="Q227" s="24"/>
      <c r="R227" s="24"/>
      <c r="S227" s="24"/>
      <c r="T227" s="24"/>
      <c r="U227" s="24"/>
      <c r="V227" s="24"/>
      <c r="W227" s="24"/>
      <c r="X227" s="24"/>
      <c r="Y227" s="24"/>
      <c r="Z227" s="24"/>
      <c r="AA227" s="24"/>
    </row>
    <row r="228" spans="1:28" x14ac:dyDescent="0.2">
      <c r="A228" s="114"/>
      <c r="B228" s="112"/>
      <c r="C228" s="24" t="s">
        <v>56</v>
      </c>
      <c r="D228" s="42">
        <v>30.914317</v>
      </c>
      <c r="E228" s="43">
        <v>1001.04</v>
      </c>
      <c r="F228" s="58"/>
      <c r="G228" s="57"/>
      <c r="H228" s="24"/>
      <c r="I228" s="24"/>
      <c r="J228" s="24"/>
      <c r="K228" s="24"/>
      <c r="L228" s="24"/>
      <c r="M228" s="24"/>
      <c r="N228" s="24"/>
      <c r="O228" s="24"/>
      <c r="P228" s="24"/>
      <c r="Q228" s="24"/>
      <c r="R228" s="24"/>
      <c r="S228" s="24"/>
      <c r="T228" s="24"/>
      <c r="U228" s="24"/>
      <c r="V228" s="24"/>
      <c r="W228" s="24"/>
      <c r="X228" s="24"/>
      <c r="Y228" s="24"/>
      <c r="Z228" s="24"/>
      <c r="AA228" s="24"/>
    </row>
    <row r="229" spans="1:28" x14ac:dyDescent="0.2">
      <c r="A229" s="114"/>
      <c r="B229" s="112"/>
      <c r="C229" s="24" t="s">
        <v>55</v>
      </c>
      <c r="D229" s="58">
        <f>D230*E229/E230</f>
        <v>33.755436000000003</v>
      </c>
      <c r="E229" s="57">
        <f>E230*(1-0.28786)</f>
        <v>1056.1036200000001</v>
      </c>
      <c r="F229" s="24"/>
      <c r="G229" s="24"/>
      <c r="H229" s="24"/>
      <c r="I229" s="24"/>
      <c r="J229" s="24"/>
      <c r="K229" s="24"/>
      <c r="L229" s="24"/>
      <c r="M229" s="24"/>
      <c r="N229" s="24"/>
      <c r="O229" s="24"/>
      <c r="P229" s="24"/>
      <c r="Q229" s="24"/>
      <c r="R229" s="24"/>
      <c r="S229" s="24"/>
      <c r="T229" s="24"/>
      <c r="U229" s="24"/>
      <c r="V229" s="24"/>
      <c r="W229" s="24"/>
      <c r="X229" s="24"/>
      <c r="Y229" s="24"/>
      <c r="Z229" s="24"/>
      <c r="AA229" s="24"/>
    </row>
    <row r="230" spans="1:28" x14ac:dyDescent="0.2">
      <c r="A230" s="114"/>
      <c r="B230" s="112"/>
      <c r="C230" s="24" t="s">
        <v>9</v>
      </c>
      <c r="D230" s="24">
        <v>47.4</v>
      </c>
      <c r="E230" s="24" t="s">
        <v>457</v>
      </c>
      <c r="F230" s="24" t="s">
        <v>458</v>
      </c>
      <c r="G230" s="24" t="s">
        <v>459</v>
      </c>
      <c r="H230" s="24" t="s">
        <v>460</v>
      </c>
      <c r="I230" s="24" t="s">
        <v>461</v>
      </c>
      <c r="J230" s="24" t="s">
        <v>462</v>
      </c>
      <c r="K230" s="24" t="s">
        <v>95</v>
      </c>
      <c r="L230" s="24" t="s">
        <v>98</v>
      </c>
      <c r="M230" s="24" t="s">
        <v>81</v>
      </c>
      <c r="N230" s="24" t="s">
        <v>87</v>
      </c>
      <c r="O230" s="24" t="s">
        <v>243</v>
      </c>
      <c r="P230" s="24" t="s">
        <v>69</v>
      </c>
      <c r="Q230" s="24" t="s">
        <v>456</v>
      </c>
      <c r="R230" s="24" t="s">
        <v>75</v>
      </c>
      <c r="S230" s="24" t="s">
        <v>177</v>
      </c>
      <c r="T230" s="24" t="s">
        <v>110</v>
      </c>
      <c r="U230" s="24" t="s">
        <v>129</v>
      </c>
      <c r="V230" s="24" t="s">
        <v>239</v>
      </c>
      <c r="W230" s="24" t="s">
        <v>463</v>
      </c>
      <c r="X230" s="24" t="s">
        <v>99</v>
      </c>
      <c r="Y230" s="24" t="s">
        <v>464</v>
      </c>
      <c r="Z230" s="24" t="s">
        <v>465</v>
      </c>
      <c r="AA230" s="24" t="s">
        <v>466</v>
      </c>
    </row>
    <row r="231" spans="1:28" x14ac:dyDescent="0.2">
      <c r="A231" s="114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</row>
    <row r="232" spans="1:28" ht="23.25" x14ac:dyDescent="0.2">
      <c r="A232" s="114"/>
      <c r="C232" s="14"/>
      <c r="D232" s="24" t="s">
        <v>47</v>
      </c>
      <c r="E232" s="24" t="s">
        <v>48</v>
      </c>
      <c r="F232" s="24" t="s">
        <v>49</v>
      </c>
      <c r="G232" s="24" t="s">
        <v>50</v>
      </c>
      <c r="H232" s="24" t="s">
        <v>51</v>
      </c>
      <c r="I232" s="24" t="s">
        <v>52</v>
      </c>
      <c r="J232" s="24" t="s">
        <v>53</v>
      </c>
      <c r="K232" s="35">
        <v>0.01</v>
      </c>
      <c r="L232" s="35">
        <v>0.05</v>
      </c>
      <c r="M232" s="35">
        <v>0.1</v>
      </c>
      <c r="N232" s="35">
        <v>0.2</v>
      </c>
      <c r="O232" s="36">
        <v>0.3</v>
      </c>
      <c r="P232" s="36">
        <v>0.4</v>
      </c>
      <c r="Q232" s="36">
        <v>0.5</v>
      </c>
      <c r="R232" s="36">
        <v>0.6</v>
      </c>
      <c r="S232" s="36">
        <v>0.7</v>
      </c>
      <c r="T232" s="36">
        <v>0.8</v>
      </c>
      <c r="U232" s="36">
        <v>0.9</v>
      </c>
      <c r="V232" s="36">
        <v>0.95</v>
      </c>
      <c r="W232" s="36">
        <v>0.99</v>
      </c>
      <c r="X232" s="35">
        <v>0.995</v>
      </c>
      <c r="Y232" s="35">
        <v>0.999</v>
      </c>
      <c r="Z232" s="35">
        <v>0.99950000000000006</v>
      </c>
      <c r="AA232" s="35">
        <v>0.99990000000000001</v>
      </c>
      <c r="AB232" s="20"/>
    </row>
    <row r="233" spans="1:28" x14ac:dyDescent="0.2">
      <c r="A233" s="114"/>
      <c r="B233" s="112" t="s">
        <v>423</v>
      </c>
      <c r="C233" s="24" t="s">
        <v>54</v>
      </c>
      <c r="D233" s="24">
        <v>45.3</v>
      </c>
      <c r="E233" s="24" t="s">
        <v>607</v>
      </c>
      <c r="F233" s="24" t="s">
        <v>608</v>
      </c>
      <c r="G233" s="24" t="s">
        <v>93</v>
      </c>
      <c r="H233" s="24" t="s">
        <v>609</v>
      </c>
      <c r="I233" s="24" t="s">
        <v>610</v>
      </c>
      <c r="J233" s="24"/>
      <c r="K233" s="24" t="s">
        <v>251</v>
      </c>
      <c r="L233" s="24" t="s">
        <v>98</v>
      </c>
      <c r="M233" s="24" t="s">
        <v>241</v>
      </c>
      <c r="N233" s="24" t="s">
        <v>81</v>
      </c>
      <c r="O233" s="24" t="s">
        <v>68</v>
      </c>
      <c r="P233" s="24" t="s">
        <v>87</v>
      </c>
      <c r="Q233" s="24" t="s">
        <v>89</v>
      </c>
      <c r="R233" s="24" t="s">
        <v>242</v>
      </c>
      <c r="S233" s="24" t="s">
        <v>243</v>
      </c>
      <c r="T233" s="24" t="s">
        <v>244</v>
      </c>
      <c r="U233" s="24" t="s">
        <v>456</v>
      </c>
      <c r="V233" s="24" t="s">
        <v>73</v>
      </c>
      <c r="W233" s="24" t="s">
        <v>193</v>
      </c>
      <c r="X233" s="24" t="s">
        <v>110</v>
      </c>
      <c r="Y233" s="24" t="s">
        <v>148</v>
      </c>
      <c r="Z233" s="24" t="s">
        <v>217</v>
      </c>
      <c r="AA233" s="24" t="s">
        <v>409</v>
      </c>
      <c r="AB233" s="7"/>
    </row>
    <row r="234" spans="1:28" x14ac:dyDescent="0.2">
      <c r="A234" s="114"/>
      <c r="B234" s="112"/>
      <c r="C234" s="24" t="s">
        <v>57</v>
      </c>
      <c r="D234" s="58">
        <f>D237*E234/E237</f>
        <v>59.714203525835877</v>
      </c>
      <c r="E234" s="58">
        <f>E213*E237/E216</f>
        <v>1864.9045884498482</v>
      </c>
      <c r="F234" s="24"/>
      <c r="G234" s="24"/>
      <c r="H234" s="24"/>
      <c r="I234" s="24"/>
      <c r="J234" s="24"/>
      <c r="K234" s="24"/>
      <c r="L234" s="24"/>
      <c r="M234" s="24"/>
      <c r="N234" s="24"/>
      <c r="O234" s="24"/>
      <c r="P234" s="24"/>
      <c r="Q234" s="24"/>
      <c r="R234" s="24"/>
      <c r="S234" s="24"/>
      <c r="T234" s="24"/>
      <c r="U234" s="24"/>
      <c r="V234" s="24"/>
      <c r="W234" s="24"/>
      <c r="X234" s="24"/>
      <c r="Y234" s="24"/>
      <c r="Z234" s="24"/>
      <c r="AA234" s="24"/>
      <c r="AB234" s="7"/>
    </row>
    <row r="235" spans="1:28" x14ac:dyDescent="0.2">
      <c r="A235" s="114"/>
      <c r="B235" s="112"/>
      <c r="C235" s="24" t="s">
        <v>56</v>
      </c>
      <c r="D235" s="24">
        <v>36.4</v>
      </c>
      <c r="E235" s="24">
        <v>1181</v>
      </c>
      <c r="F235" s="24"/>
      <c r="G235" s="24"/>
      <c r="H235" s="24"/>
      <c r="I235" s="24"/>
      <c r="J235" s="24"/>
      <c r="K235" s="24"/>
      <c r="L235" s="24"/>
      <c r="M235" s="24"/>
      <c r="N235" s="24"/>
      <c r="O235" s="24"/>
      <c r="P235" s="24"/>
      <c r="Q235" s="24"/>
      <c r="R235" s="24"/>
      <c r="S235" s="24"/>
      <c r="T235" s="24"/>
      <c r="U235" s="24"/>
      <c r="V235" s="24"/>
      <c r="W235" s="24"/>
      <c r="X235" s="24"/>
      <c r="Y235" s="24"/>
      <c r="Z235" s="24"/>
      <c r="AA235" s="24"/>
      <c r="AB235" s="7"/>
    </row>
    <row r="236" spans="1:28" x14ac:dyDescent="0.2">
      <c r="A236" s="114"/>
      <c r="B236" s="112"/>
      <c r="C236" s="24" t="s">
        <v>55</v>
      </c>
      <c r="D236" s="58">
        <f>D237*E236/E237</f>
        <v>41.090477999999997</v>
      </c>
      <c r="E236" s="57">
        <f>E237*(1-0.28786)</f>
        <v>1283.27628</v>
      </c>
      <c r="F236" s="24"/>
      <c r="G236" s="24"/>
      <c r="H236" s="24"/>
      <c r="I236" s="24"/>
      <c r="J236" s="24"/>
      <c r="K236" s="24"/>
      <c r="L236" s="24"/>
      <c r="M236" s="24"/>
      <c r="N236" s="24"/>
      <c r="O236" s="24"/>
      <c r="P236" s="24"/>
      <c r="Q236" s="24"/>
      <c r="R236" s="24"/>
      <c r="S236" s="24"/>
      <c r="T236" s="24"/>
      <c r="U236" s="24"/>
      <c r="V236" s="24"/>
      <c r="W236" s="24"/>
      <c r="X236" s="24"/>
      <c r="Y236" s="24"/>
      <c r="Z236" s="24"/>
      <c r="AA236" s="24"/>
      <c r="AB236" s="7"/>
    </row>
    <row r="237" spans="1:28" x14ac:dyDescent="0.2">
      <c r="A237" s="114"/>
      <c r="B237" s="112"/>
      <c r="C237" s="24" t="s">
        <v>9</v>
      </c>
      <c r="D237" s="24">
        <v>57.7</v>
      </c>
      <c r="E237" s="24" t="s">
        <v>467</v>
      </c>
      <c r="F237" s="24" t="s">
        <v>468</v>
      </c>
      <c r="G237" s="24" t="s">
        <v>283</v>
      </c>
      <c r="H237" s="24" t="s">
        <v>469</v>
      </c>
      <c r="I237" s="24" t="s">
        <v>470</v>
      </c>
      <c r="J237" s="24" t="s">
        <v>471</v>
      </c>
      <c r="K237" s="24" t="s">
        <v>97</v>
      </c>
      <c r="L237" s="24" t="s">
        <v>68</v>
      </c>
      <c r="M237" s="24" t="s">
        <v>87</v>
      </c>
      <c r="N237" s="24" t="s">
        <v>254</v>
      </c>
      <c r="O237" s="24" t="s">
        <v>255</v>
      </c>
      <c r="P237" s="24" t="s">
        <v>301</v>
      </c>
      <c r="Q237" s="24" t="s">
        <v>177</v>
      </c>
      <c r="R237" s="24" t="s">
        <v>76</v>
      </c>
      <c r="S237" s="24" t="s">
        <v>110</v>
      </c>
      <c r="T237" s="24" t="s">
        <v>114</v>
      </c>
      <c r="U237" s="24" t="s">
        <v>151</v>
      </c>
      <c r="V237" s="24" t="s">
        <v>130</v>
      </c>
      <c r="W237" s="24" t="s">
        <v>135</v>
      </c>
      <c r="X237" s="24" t="s">
        <v>472</v>
      </c>
      <c r="Y237" s="24" t="s">
        <v>379</v>
      </c>
      <c r="Z237" s="24" t="s">
        <v>401</v>
      </c>
      <c r="AA237" s="24" t="s">
        <v>473</v>
      </c>
      <c r="AB237" s="7"/>
    </row>
    <row r="238" spans="1:28" x14ac:dyDescent="0.2">
      <c r="A238" s="114"/>
      <c r="AB238" s="7"/>
    </row>
    <row r="239" spans="1:28" x14ac:dyDescent="0.2">
      <c r="A239" s="114"/>
      <c r="C239" s="19"/>
      <c r="D239" s="23" t="s">
        <v>47</v>
      </c>
      <c r="E239" s="23" t="s">
        <v>48</v>
      </c>
      <c r="F239" s="23" t="s">
        <v>49</v>
      </c>
      <c r="G239" s="23" t="s">
        <v>50</v>
      </c>
      <c r="H239" s="23" t="s">
        <v>51</v>
      </c>
      <c r="I239" s="23" t="s">
        <v>52</v>
      </c>
      <c r="J239" s="23" t="s">
        <v>53</v>
      </c>
      <c r="K239" s="29">
        <v>0.01</v>
      </c>
      <c r="L239" s="29">
        <v>0.05</v>
      </c>
      <c r="M239" s="29">
        <v>0.1</v>
      </c>
      <c r="N239" s="29">
        <v>0.2</v>
      </c>
      <c r="O239" s="30">
        <v>0.3</v>
      </c>
      <c r="P239" s="30">
        <v>0.4</v>
      </c>
      <c r="Q239" s="30">
        <v>0.5</v>
      </c>
      <c r="R239" s="30">
        <v>0.6</v>
      </c>
      <c r="S239" s="30">
        <v>0.7</v>
      </c>
      <c r="T239" s="30">
        <v>0.8</v>
      </c>
      <c r="U239" s="30">
        <v>0.9</v>
      </c>
      <c r="V239" s="30">
        <v>0.95</v>
      </c>
      <c r="W239" s="30">
        <v>0.99</v>
      </c>
      <c r="X239" s="29">
        <v>0.995</v>
      </c>
      <c r="Y239" s="29">
        <v>0.999</v>
      </c>
      <c r="Z239" s="29">
        <v>0.99950000000000006</v>
      </c>
      <c r="AA239" s="29">
        <v>0.99990000000000001</v>
      </c>
      <c r="AB239" s="7"/>
    </row>
    <row r="240" spans="1:28" x14ac:dyDescent="0.2">
      <c r="A240" s="114"/>
      <c r="B240" s="120" t="s">
        <v>60</v>
      </c>
      <c r="C240" s="23" t="s">
        <v>54</v>
      </c>
      <c r="D240" s="23">
        <v>33.6</v>
      </c>
      <c r="E240" s="23" t="s">
        <v>611</v>
      </c>
      <c r="F240" s="23" t="s">
        <v>612</v>
      </c>
      <c r="G240" s="23" t="s">
        <v>94</v>
      </c>
      <c r="H240" s="23" t="s">
        <v>484</v>
      </c>
      <c r="I240" s="23" t="s">
        <v>613</v>
      </c>
      <c r="J240" s="23"/>
      <c r="K240" s="23" t="s">
        <v>251</v>
      </c>
      <c r="L240" s="23" t="s">
        <v>97</v>
      </c>
      <c r="M240" s="23" t="s">
        <v>97</v>
      </c>
      <c r="N240" s="23" t="s">
        <v>97</v>
      </c>
      <c r="O240" s="23" t="s">
        <v>98</v>
      </c>
      <c r="P240" s="23" t="s">
        <v>82</v>
      </c>
      <c r="Q240" s="23" t="s">
        <v>241</v>
      </c>
      <c r="R240" s="23" t="s">
        <v>68</v>
      </c>
      <c r="S240" s="23" t="s">
        <v>88</v>
      </c>
      <c r="T240" s="23" t="s">
        <v>89</v>
      </c>
      <c r="U240" s="23" t="s">
        <v>242</v>
      </c>
      <c r="V240" s="23" t="s">
        <v>243</v>
      </c>
      <c r="W240" s="23" t="s">
        <v>75</v>
      </c>
      <c r="X240" s="23" t="s">
        <v>233</v>
      </c>
      <c r="Y240" s="23" t="s">
        <v>112</v>
      </c>
      <c r="Z240" s="23" t="s">
        <v>207</v>
      </c>
      <c r="AA240" s="23" t="s">
        <v>484</v>
      </c>
      <c r="AB240" s="7"/>
    </row>
    <row r="241" spans="1:28" x14ac:dyDescent="0.2">
      <c r="A241" s="114"/>
      <c r="B241" s="121"/>
      <c r="C241" s="23" t="s">
        <v>57</v>
      </c>
      <c r="D241" s="56">
        <f>D240*E241/E240</f>
        <v>38.288543999999995</v>
      </c>
      <c r="E241" s="33">
        <f>E240*1.13954</f>
        <v>1195.3774599999999</v>
      </c>
      <c r="F241" s="23"/>
      <c r="G241" s="23"/>
      <c r="H241" s="23"/>
      <c r="I241" s="23"/>
      <c r="J241" s="23"/>
      <c r="K241" s="23" t="s">
        <v>95</v>
      </c>
      <c r="L241" s="23" t="s">
        <v>95</v>
      </c>
      <c r="M241" s="23" t="s">
        <v>251</v>
      </c>
      <c r="N241" s="23" t="s">
        <v>251</v>
      </c>
      <c r="O241" s="23" t="s">
        <v>96</v>
      </c>
      <c r="P241" s="23" t="s">
        <v>96</v>
      </c>
      <c r="Q241" s="23" t="s">
        <v>97</v>
      </c>
      <c r="R241" s="23" t="s">
        <v>82</v>
      </c>
      <c r="S241" s="23" t="s">
        <v>68</v>
      </c>
      <c r="T241" s="23" t="s">
        <v>86</v>
      </c>
      <c r="U241" s="23" t="s">
        <v>87</v>
      </c>
      <c r="V241" s="23" t="s">
        <v>244</v>
      </c>
      <c r="W241" s="23" t="s">
        <v>74</v>
      </c>
      <c r="X241" s="23" t="s">
        <v>233</v>
      </c>
      <c r="Y241" s="23" t="s">
        <v>110</v>
      </c>
      <c r="Z241" s="23" t="s">
        <v>207</v>
      </c>
      <c r="AA241" s="23">
        <v>123</v>
      </c>
      <c r="AB241" s="7"/>
    </row>
    <row r="242" spans="1:28" x14ac:dyDescent="0.2">
      <c r="A242" s="114"/>
      <c r="B242" s="121"/>
      <c r="C242" s="23" t="s">
        <v>56</v>
      </c>
      <c r="D242" s="23">
        <v>9.7639999999999993</v>
      </c>
      <c r="E242" s="33">
        <v>318.71699999999998</v>
      </c>
      <c r="F242" s="23"/>
      <c r="G242" s="23"/>
      <c r="H242" s="23"/>
      <c r="I242" s="23"/>
      <c r="J242" s="23"/>
      <c r="K242" s="23">
        <v>96</v>
      </c>
      <c r="L242" s="23">
        <v>97</v>
      </c>
      <c r="M242" s="23">
        <v>98</v>
      </c>
      <c r="N242" s="23">
        <v>98</v>
      </c>
      <c r="O242" s="23">
        <v>99</v>
      </c>
      <c r="P242" s="23">
        <v>99</v>
      </c>
      <c r="Q242" s="23">
        <v>99</v>
      </c>
      <c r="R242" s="23">
        <v>100</v>
      </c>
      <c r="S242" s="23">
        <v>100</v>
      </c>
      <c r="T242" s="23">
        <v>101</v>
      </c>
      <c r="U242" s="23">
        <v>108</v>
      </c>
      <c r="V242" s="23">
        <v>184</v>
      </c>
      <c r="W242" s="23">
        <v>192</v>
      </c>
      <c r="X242" s="23">
        <v>277</v>
      </c>
      <c r="Y242" s="23">
        <v>281</v>
      </c>
      <c r="Z242" s="23">
        <v>285</v>
      </c>
      <c r="AA242" s="23">
        <v>1876</v>
      </c>
      <c r="AB242" s="7"/>
    </row>
    <row r="243" spans="1:28" x14ac:dyDescent="0.2">
      <c r="A243" s="114"/>
      <c r="B243" s="121"/>
      <c r="C243" s="23" t="s">
        <v>55</v>
      </c>
      <c r="D243" s="23">
        <v>28.7</v>
      </c>
      <c r="E243" s="56">
        <f>E244*(1-0.19804)</f>
        <v>896.59127999999998</v>
      </c>
      <c r="F243" s="23"/>
      <c r="G243" s="23" t="s">
        <v>94</v>
      </c>
      <c r="H243" s="23" t="s">
        <v>723</v>
      </c>
      <c r="I243" s="23" t="s">
        <v>724</v>
      </c>
      <c r="J243" s="23" t="s">
        <v>725</v>
      </c>
      <c r="K243" s="23" t="s">
        <v>251</v>
      </c>
      <c r="L243" s="23" t="s">
        <v>96</v>
      </c>
      <c r="M243" s="23" t="s">
        <v>96</v>
      </c>
      <c r="N243" s="85" t="s">
        <v>98</v>
      </c>
      <c r="O243" s="85" t="s">
        <v>82</v>
      </c>
      <c r="P243" s="85" t="s">
        <v>82</v>
      </c>
      <c r="Q243" s="85" t="s">
        <v>82</v>
      </c>
      <c r="R243" s="85" t="s">
        <v>241</v>
      </c>
      <c r="S243" s="85" t="s">
        <v>241</v>
      </c>
      <c r="T243" s="85" t="s">
        <v>81</v>
      </c>
      <c r="U243" s="85" t="s">
        <v>88</v>
      </c>
      <c r="V243" s="85" t="s">
        <v>71</v>
      </c>
      <c r="W243" s="85" t="s">
        <v>328</v>
      </c>
      <c r="X243" s="85" t="s">
        <v>651</v>
      </c>
      <c r="Y243" s="85" t="s">
        <v>382</v>
      </c>
      <c r="Z243" s="85" t="s">
        <v>726</v>
      </c>
      <c r="AA243" s="85" t="s">
        <v>721</v>
      </c>
      <c r="AB243" s="7"/>
    </row>
    <row r="244" spans="1:28" s="19" customFormat="1" x14ac:dyDescent="0.2">
      <c r="A244" s="114"/>
      <c r="B244" s="122"/>
      <c r="C244" s="23" t="s">
        <v>9</v>
      </c>
      <c r="D244" s="23">
        <v>35.799999999999997</v>
      </c>
      <c r="E244" s="23" t="s">
        <v>474</v>
      </c>
      <c r="F244" s="23" t="s">
        <v>475</v>
      </c>
      <c r="G244" s="23" t="s">
        <v>265</v>
      </c>
      <c r="H244" s="23" t="s">
        <v>476</v>
      </c>
      <c r="I244" s="23" t="s">
        <v>477</v>
      </c>
      <c r="J244" s="23"/>
      <c r="K244" s="23" t="s">
        <v>95</v>
      </c>
      <c r="L244" s="23" t="s">
        <v>251</v>
      </c>
      <c r="M244" s="23" t="s">
        <v>251</v>
      </c>
      <c r="N244" s="23" t="s">
        <v>96</v>
      </c>
      <c r="O244" s="23" t="s">
        <v>97</v>
      </c>
      <c r="P244" s="23" t="s">
        <v>97</v>
      </c>
      <c r="Q244" s="23" t="s">
        <v>82</v>
      </c>
      <c r="R244" s="23" t="s">
        <v>81</v>
      </c>
      <c r="S244" s="23" t="s">
        <v>86</v>
      </c>
      <c r="T244" s="23" t="s">
        <v>87</v>
      </c>
      <c r="U244" s="23" t="s">
        <v>88</v>
      </c>
      <c r="V244" s="23" t="s">
        <v>243</v>
      </c>
      <c r="W244" s="23" t="s">
        <v>74</v>
      </c>
      <c r="X244" s="23" t="s">
        <v>233</v>
      </c>
      <c r="Y244" s="23" t="s">
        <v>110</v>
      </c>
      <c r="Z244" s="23" t="s">
        <v>115</v>
      </c>
      <c r="AA244" s="23" t="s">
        <v>476</v>
      </c>
      <c r="AB244" s="7"/>
    </row>
    <row r="245" spans="1:28" x14ac:dyDescent="0.2">
      <c r="A245" s="114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AB245" s="7"/>
    </row>
    <row r="246" spans="1:28" x14ac:dyDescent="0.2">
      <c r="A246" s="114"/>
      <c r="C246" s="19"/>
      <c r="D246" s="23" t="s">
        <v>47</v>
      </c>
      <c r="E246" s="23" t="s">
        <v>48</v>
      </c>
      <c r="F246" s="23" t="s">
        <v>49</v>
      </c>
      <c r="G246" s="23" t="s">
        <v>50</v>
      </c>
      <c r="H246" s="23" t="s">
        <v>51</v>
      </c>
      <c r="I246" s="23" t="s">
        <v>52</v>
      </c>
      <c r="J246" s="23" t="s">
        <v>53</v>
      </c>
      <c r="K246" s="29">
        <v>0.01</v>
      </c>
      <c r="L246" s="29">
        <v>0.05</v>
      </c>
      <c r="M246" s="29">
        <v>0.1</v>
      </c>
      <c r="N246" s="29">
        <v>0.2</v>
      </c>
      <c r="O246" s="30">
        <v>0.3</v>
      </c>
      <c r="P246" s="30">
        <v>0.4</v>
      </c>
      <c r="Q246" s="30">
        <v>0.5</v>
      </c>
      <c r="R246" s="30">
        <v>0.6</v>
      </c>
      <c r="S246" s="30">
        <v>0.7</v>
      </c>
      <c r="T246" s="30">
        <v>0.8</v>
      </c>
      <c r="U246" s="30">
        <v>0.9</v>
      </c>
      <c r="V246" s="30">
        <v>0.95</v>
      </c>
      <c r="W246" s="30">
        <v>0.99</v>
      </c>
      <c r="X246" s="29">
        <v>0.995</v>
      </c>
      <c r="Y246" s="29">
        <v>0.999</v>
      </c>
      <c r="Z246" s="29">
        <v>0.99950000000000006</v>
      </c>
      <c r="AA246" s="29">
        <v>0.99990000000000001</v>
      </c>
      <c r="AB246" s="7"/>
    </row>
    <row r="247" spans="1:28" x14ac:dyDescent="0.2">
      <c r="A247" s="114"/>
      <c r="B247" s="120" t="s">
        <v>60</v>
      </c>
      <c r="C247" s="23" t="s">
        <v>54</v>
      </c>
      <c r="D247" s="23">
        <v>50.4</v>
      </c>
      <c r="E247" s="23" t="s">
        <v>629</v>
      </c>
      <c r="F247" s="23" t="s">
        <v>630</v>
      </c>
      <c r="G247" s="23" t="s">
        <v>250</v>
      </c>
      <c r="H247" s="23" t="s">
        <v>631</v>
      </c>
      <c r="I247" s="23" t="s">
        <v>632</v>
      </c>
      <c r="J247" s="23" t="s">
        <v>633</v>
      </c>
      <c r="K247" s="23" t="s">
        <v>98</v>
      </c>
      <c r="L247" s="23" t="s">
        <v>68</v>
      </c>
      <c r="M247" s="23" t="s">
        <v>88</v>
      </c>
      <c r="N247" s="23" t="s">
        <v>252</v>
      </c>
      <c r="O247" s="23" t="s">
        <v>69</v>
      </c>
      <c r="P247" s="23" t="s">
        <v>456</v>
      </c>
      <c r="Q247" s="23" t="s">
        <v>73</v>
      </c>
      <c r="R247" s="23" t="s">
        <v>301</v>
      </c>
      <c r="S247" s="23" t="s">
        <v>233</v>
      </c>
      <c r="T247" s="23" t="s">
        <v>181</v>
      </c>
      <c r="U247" s="23" t="s">
        <v>114</v>
      </c>
      <c r="V247" s="23" t="s">
        <v>166</v>
      </c>
      <c r="W247" s="23" t="s">
        <v>342</v>
      </c>
      <c r="X247" s="23" t="s">
        <v>327</v>
      </c>
      <c r="Y247" s="23" t="s">
        <v>196</v>
      </c>
      <c r="Z247" s="23" t="s">
        <v>527</v>
      </c>
      <c r="AA247" s="23" t="s">
        <v>634</v>
      </c>
      <c r="AB247" s="7"/>
    </row>
    <row r="248" spans="1:28" x14ac:dyDescent="0.2">
      <c r="A248" s="114"/>
      <c r="B248" s="121"/>
      <c r="C248" s="23" t="s">
        <v>57</v>
      </c>
      <c r="D248" s="56">
        <f>D247*E248/E247</f>
        <v>53.032302732016007</v>
      </c>
      <c r="E248" s="33">
        <f>E241*E251/E244</f>
        <v>1656.2072321466906</v>
      </c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  <c r="AA248" s="23"/>
      <c r="AB248" s="7"/>
    </row>
    <row r="249" spans="1:28" x14ac:dyDescent="0.2">
      <c r="A249" s="114"/>
      <c r="B249" s="121"/>
      <c r="C249" s="23" t="s">
        <v>56</v>
      </c>
      <c r="D249" s="56">
        <f>9.764*3.11</f>
        <v>30.366039999999998</v>
      </c>
      <c r="E249" s="33">
        <f>319*3.1005</f>
        <v>989.05949999999996</v>
      </c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  <c r="AA249" s="23"/>
      <c r="AB249" s="7"/>
    </row>
    <row r="250" spans="1:28" x14ac:dyDescent="0.2">
      <c r="A250" s="114"/>
      <c r="B250" s="121"/>
      <c r="C250" s="23" t="s">
        <v>55</v>
      </c>
      <c r="D250" s="56">
        <f>D251*(1-0.19804)</f>
        <v>39.777216000000003</v>
      </c>
      <c r="E250" s="56">
        <f>E251*(1-0.19804)</f>
        <v>1242.23604</v>
      </c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  <c r="AA250" s="23"/>
      <c r="AB250" s="7"/>
    </row>
    <row r="251" spans="1:28" s="19" customFormat="1" x14ac:dyDescent="0.2">
      <c r="A251" s="114"/>
      <c r="B251" s="122"/>
      <c r="C251" s="23" t="s">
        <v>9</v>
      </c>
      <c r="D251" s="23">
        <v>49.6</v>
      </c>
      <c r="E251" s="23" t="s">
        <v>478</v>
      </c>
      <c r="F251" s="23" t="s">
        <v>479</v>
      </c>
      <c r="G251" s="23" t="s">
        <v>250</v>
      </c>
      <c r="H251" s="23" t="s">
        <v>480</v>
      </c>
      <c r="I251" s="23" t="s">
        <v>481</v>
      </c>
      <c r="J251" s="23" t="s">
        <v>482</v>
      </c>
      <c r="K251" s="23" t="s">
        <v>96</v>
      </c>
      <c r="L251" s="23" t="s">
        <v>81</v>
      </c>
      <c r="M251" s="23" t="s">
        <v>87</v>
      </c>
      <c r="N251" s="23" t="s">
        <v>242</v>
      </c>
      <c r="O251" s="23" t="s">
        <v>252</v>
      </c>
      <c r="P251" s="23" t="s">
        <v>254</v>
      </c>
      <c r="Q251" s="23" t="s">
        <v>71</v>
      </c>
      <c r="R251" s="23" t="s">
        <v>255</v>
      </c>
      <c r="S251" s="23" t="s">
        <v>301</v>
      </c>
      <c r="T251" s="23" t="s">
        <v>223</v>
      </c>
      <c r="U251" s="23" t="s">
        <v>168</v>
      </c>
      <c r="V251" s="23" t="s">
        <v>321</v>
      </c>
      <c r="W251" s="23" t="s">
        <v>184</v>
      </c>
      <c r="X251" s="23" t="s">
        <v>222</v>
      </c>
      <c r="Y251" s="23" t="s">
        <v>288</v>
      </c>
      <c r="Z251" s="23" t="s">
        <v>483</v>
      </c>
      <c r="AA251" s="23" t="s">
        <v>484</v>
      </c>
      <c r="AB251" s="7"/>
    </row>
    <row r="252" spans="1:28" x14ac:dyDescent="0.2">
      <c r="A252" s="114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AB252" s="7"/>
    </row>
    <row r="253" spans="1:28" x14ac:dyDescent="0.2">
      <c r="A253" s="114"/>
      <c r="C253" s="19"/>
      <c r="D253" s="23" t="s">
        <v>47</v>
      </c>
      <c r="E253" s="23" t="s">
        <v>48</v>
      </c>
      <c r="F253" s="23" t="s">
        <v>49</v>
      </c>
      <c r="G253" s="23" t="s">
        <v>50</v>
      </c>
      <c r="H253" s="23" t="s">
        <v>51</v>
      </c>
      <c r="I253" s="23" t="s">
        <v>52</v>
      </c>
      <c r="J253" s="23" t="s">
        <v>53</v>
      </c>
      <c r="K253" s="29">
        <v>0.01</v>
      </c>
      <c r="L253" s="29">
        <v>0.05</v>
      </c>
      <c r="M253" s="29">
        <v>0.1</v>
      </c>
      <c r="N253" s="29">
        <v>0.2</v>
      </c>
      <c r="O253" s="30">
        <v>0.3</v>
      </c>
      <c r="P253" s="30">
        <v>0.4</v>
      </c>
      <c r="Q253" s="30">
        <v>0.5</v>
      </c>
      <c r="R253" s="30">
        <v>0.6</v>
      </c>
      <c r="S253" s="30">
        <v>0.7</v>
      </c>
      <c r="T253" s="30">
        <v>0.8</v>
      </c>
      <c r="U253" s="30">
        <v>0.9</v>
      </c>
      <c r="V253" s="30">
        <v>0.95</v>
      </c>
      <c r="W253" s="30">
        <v>0.99</v>
      </c>
      <c r="X253" s="29">
        <v>0.995</v>
      </c>
      <c r="Y253" s="29">
        <v>0.999</v>
      </c>
      <c r="Z253" s="29">
        <v>0.99950000000000006</v>
      </c>
      <c r="AA253" s="29">
        <v>0.99990000000000001</v>
      </c>
      <c r="AB253" s="7"/>
    </row>
    <row r="254" spans="1:28" x14ac:dyDescent="0.2">
      <c r="A254" s="114"/>
      <c r="B254" s="120" t="s">
        <v>60</v>
      </c>
      <c r="C254" s="23" t="s">
        <v>54</v>
      </c>
      <c r="D254" s="23" t="s">
        <v>223</v>
      </c>
      <c r="E254" s="23" t="s">
        <v>614</v>
      </c>
      <c r="F254" s="23" t="s">
        <v>615</v>
      </c>
      <c r="G254" s="23" t="s">
        <v>93</v>
      </c>
      <c r="H254" s="23" t="s">
        <v>616</v>
      </c>
      <c r="I254" s="23" t="s">
        <v>617</v>
      </c>
      <c r="J254" s="23" t="s">
        <v>618</v>
      </c>
      <c r="K254" s="23" t="s">
        <v>86</v>
      </c>
      <c r="L254" s="23" t="s">
        <v>69</v>
      </c>
      <c r="M254" s="23" t="s">
        <v>255</v>
      </c>
      <c r="N254" s="23" t="s">
        <v>307</v>
      </c>
      <c r="O254" s="23" t="s">
        <v>76</v>
      </c>
      <c r="P254" s="23" t="s">
        <v>109</v>
      </c>
      <c r="Q254" s="23" t="s">
        <v>145</v>
      </c>
      <c r="R254" s="23" t="s">
        <v>148</v>
      </c>
      <c r="S254" s="23" t="s">
        <v>218</v>
      </c>
      <c r="T254" s="23" t="s">
        <v>127</v>
      </c>
      <c r="U254" s="23" t="s">
        <v>153</v>
      </c>
      <c r="V254" s="23" t="s">
        <v>278</v>
      </c>
      <c r="W254" s="23" t="s">
        <v>417</v>
      </c>
      <c r="X254" s="23" t="s">
        <v>484</v>
      </c>
      <c r="Y254" s="23" t="s">
        <v>619</v>
      </c>
      <c r="Z254" s="23" t="s">
        <v>324</v>
      </c>
      <c r="AA254" s="23" t="s">
        <v>620</v>
      </c>
      <c r="AB254" s="7"/>
    </row>
    <row r="255" spans="1:28" x14ac:dyDescent="0.2">
      <c r="A255" s="114"/>
      <c r="B255" s="121"/>
      <c r="C255" s="23" t="s">
        <v>57</v>
      </c>
      <c r="D255" s="56">
        <f>D254*E255/E254</f>
        <v>59.650085763293312</v>
      </c>
      <c r="E255" s="23">
        <f>1863</f>
        <v>1863</v>
      </c>
      <c r="F255" s="23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  <c r="AA255" s="23"/>
      <c r="AB255" s="7"/>
    </row>
    <row r="256" spans="1:28" x14ac:dyDescent="0.2">
      <c r="A256" s="114"/>
      <c r="B256" s="121"/>
      <c r="C256" s="23" t="s">
        <v>56</v>
      </c>
      <c r="D256" s="56">
        <f>9.764*4.1098</f>
        <v>40.128087199999996</v>
      </c>
      <c r="E256" s="33">
        <f>319*4.1078</f>
        <v>1310.3882000000001</v>
      </c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  <c r="AA256" s="23"/>
      <c r="AB256" s="7"/>
    </row>
    <row r="257" spans="1:28" x14ac:dyDescent="0.2">
      <c r="A257" s="114"/>
      <c r="B257" s="121"/>
      <c r="C257" s="23" t="s">
        <v>55</v>
      </c>
      <c r="D257" s="56">
        <f>D258*(1-0.19804)</f>
        <v>41.541528</v>
      </c>
      <c r="E257" s="56">
        <f>E258*(1-0.19804)</f>
        <v>1296.7693200000001</v>
      </c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  <c r="AB257" s="7"/>
    </row>
    <row r="258" spans="1:28" x14ac:dyDescent="0.2">
      <c r="A258" s="114"/>
      <c r="B258" s="122"/>
      <c r="C258" s="23" t="s">
        <v>9</v>
      </c>
      <c r="D258" s="32">
        <v>51.8</v>
      </c>
      <c r="E258" s="23" t="s">
        <v>493</v>
      </c>
      <c r="F258" s="23" t="s">
        <v>494</v>
      </c>
      <c r="G258" s="23" t="s">
        <v>93</v>
      </c>
      <c r="H258" s="23" t="s">
        <v>487</v>
      </c>
      <c r="I258" s="23" t="s">
        <v>488</v>
      </c>
      <c r="J258" s="23" t="s">
        <v>489</v>
      </c>
      <c r="K258" s="23" t="s">
        <v>81</v>
      </c>
      <c r="L258" s="23" t="s">
        <v>252</v>
      </c>
      <c r="M258" s="23" t="s">
        <v>456</v>
      </c>
      <c r="N258" s="23" t="s">
        <v>378</v>
      </c>
      <c r="O258" s="23" t="s">
        <v>213</v>
      </c>
      <c r="P258" s="23" t="s">
        <v>108</v>
      </c>
      <c r="Q258" s="23" t="s">
        <v>113</v>
      </c>
      <c r="R258" s="23" t="s">
        <v>115</v>
      </c>
      <c r="S258" s="23" t="s">
        <v>217</v>
      </c>
      <c r="T258" s="23" t="s">
        <v>182</v>
      </c>
      <c r="U258" s="23" t="s">
        <v>133</v>
      </c>
      <c r="V258" s="23" t="s">
        <v>135</v>
      </c>
      <c r="W258" s="23" t="s">
        <v>490</v>
      </c>
      <c r="X258" s="23" t="s">
        <v>102</v>
      </c>
      <c r="Y258" s="23" t="s">
        <v>403</v>
      </c>
      <c r="Z258" s="23" t="s">
        <v>491</v>
      </c>
      <c r="AA258" s="23" t="s">
        <v>492</v>
      </c>
      <c r="AB258" s="7"/>
    </row>
    <row r="259" spans="1:28" x14ac:dyDescent="0.2">
      <c r="A259" s="114"/>
      <c r="B259" s="7"/>
      <c r="C259" s="7"/>
      <c r="AB259" s="7"/>
    </row>
    <row r="260" spans="1:28" x14ac:dyDescent="0.2">
      <c r="A260" s="114"/>
      <c r="B260" s="19"/>
      <c r="C260" s="19"/>
      <c r="D260" s="23" t="s">
        <v>47</v>
      </c>
      <c r="E260" s="23" t="s">
        <v>48</v>
      </c>
      <c r="F260" s="23" t="s">
        <v>49</v>
      </c>
      <c r="G260" s="23" t="s">
        <v>50</v>
      </c>
      <c r="H260" s="23" t="s">
        <v>51</v>
      </c>
      <c r="I260" s="23" t="s">
        <v>52</v>
      </c>
      <c r="J260" s="23" t="s">
        <v>53</v>
      </c>
      <c r="K260" s="29">
        <v>0.01</v>
      </c>
      <c r="L260" s="29">
        <v>0.05</v>
      </c>
      <c r="M260" s="29">
        <v>0.1</v>
      </c>
      <c r="N260" s="29">
        <v>0.2</v>
      </c>
      <c r="O260" s="30">
        <v>0.3</v>
      </c>
      <c r="P260" s="30">
        <v>0.4</v>
      </c>
      <c r="Q260" s="30">
        <v>0.5</v>
      </c>
      <c r="R260" s="30">
        <v>0.6</v>
      </c>
      <c r="S260" s="30">
        <v>0.7</v>
      </c>
      <c r="T260" s="30">
        <v>0.8</v>
      </c>
      <c r="U260" s="30">
        <v>0.9</v>
      </c>
      <c r="V260" s="30">
        <v>0.95</v>
      </c>
      <c r="W260" s="30">
        <v>0.99</v>
      </c>
      <c r="X260" s="29">
        <v>0.995</v>
      </c>
      <c r="Y260" s="29">
        <v>0.999</v>
      </c>
      <c r="Z260" s="29">
        <v>0.99950000000000006</v>
      </c>
      <c r="AA260" s="29">
        <v>0.99990000000000001</v>
      </c>
      <c r="AB260" s="7"/>
    </row>
    <row r="261" spans="1:28" x14ac:dyDescent="0.2">
      <c r="A261" s="114"/>
      <c r="B261" s="120" t="s">
        <v>60</v>
      </c>
      <c r="C261" s="23" t="s">
        <v>54</v>
      </c>
      <c r="D261" s="23">
        <v>64.3</v>
      </c>
      <c r="E261" s="23" t="s">
        <v>621</v>
      </c>
      <c r="F261" s="23" t="s">
        <v>622</v>
      </c>
      <c r="G261" s="23" t="s">
        <v>452</v>
      </c>
      <c r="H261" s="23" t="s">
        <v>623</v>
      </c>
      <c r="I261" s="23" t="s">
        <v>624</v>
      </c>
      <c r="J261" s="23" t="s">
        <v>625</v>
      </c>
      <c r="K261" s="23" t="s">
        <v>242</v>
      </c>
      <c r="L261" s="23" t="s">
        <v>255</v>
      </c>
      <c r="M261" s="23" t="s">
        <v>378</v>
      </c>
      <c r="N261" s="23" t="s">
        <v>76</v>
      </c>
      <c r="O261" s="23" t="s">
        <v>111</v>
      </c>
      <c r="P261" s="23" t="s">
        <v>114</v>
      </c>
      <c r="Q261" s="23" t="s">
        <v>165</v>
      </c>
      <c r="R261" s="23" t="s">
        <v>218</v>
      </c>
      <c r="S261" s="23" t="s">
        <v>182</v>
      </c>
      <c r="T261" s="23" t="s">
        <v>238</v>
      </c>
      <c r="U261" s="23" t="s">
        <v>135</v>
      </c>
      <c r="V261" s="23" t="s">
        <v>352</v>
      </c>
      <c r="W261" s="23" t="s">
        <v>280</v>
      </c>
      <c r="X261" s="23" t="s">
        <v>626</v>
      </c>
      <c r="Y261" s="23" t="s">
        <v>371</v>
      </c>
      <c r="Z261" s="23" t="s">
        <v>627</v>
      </c>
      <c r="AA261" s="23" t="s">
        <v>628</v>
      </c>
      <c r="AB261" s="19"/>
    </row>
    <row r="262" spans="1:28" x14ac:dyDescent="0.2">
      <c r="A262" s="114"/>
      <c r="B262" s="121"/>
      <c r="C262" s="23" t="s">
        <v>57</v>
      </c>
      <c r="D262" s="56">
        <f>D261*E262/E261</f>
        <v>72.721762948207171</v>
      </c>
      <c r="E262" s="23">
        <v>2271</v>
      </c>
      <c r="F262" s="23"/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  <c r="AA262" s="23"/>
      <c r="AB262" s="19"/>
    </row>
    <row r="263" spans="1:28" x14ac:dyDescent="0.2">
      <c r="A263" s="114"/>
      <c r="B263" s="121"/>
      <c r="C263" s="23" t="s">
        <v>56</v>
      </c>
      <c r="D263" s="59">
        <f>9.764*4.30115</f>
        <v>41.996428599999994</v>
      </c>
      <c r="E263" s="33">
        <f>319*4.30015</f>
        <v>1371.7478500000002</v>
      </c>
      <c r="F263" s="23"/>
      <c r="G263" s="23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  <c r="AA263" s="23"/>
      <c r="AB263" s="19"/>
    </row>
    <row r="264" spans="1:28" x14ac:dyDescent="0.2">
      <c r="A264" s="114"/>
      <c r="B264" s="121"/>
      <c r="C264" s="23" t="s">
        <v>55</v>
      </c>
      <c r="D264" s="56">
        <f>D265*(1-0.19804)</f>
        <v>48.358187999999998</v>
      </c>
      <c r="E264" s="56">
        <f>E265*(1-0.19804)</f>
        <v>1511.6946</v>
      </c>
      <c r="F264" s="23"/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  <c r="AA264" s="23"/>
      <c r="AB264" s="19"/>
    </row>
    <row r="265" spans="1:28" x14ac:dyDescent="0.2">
      <c r="A265" s="114"/>
      <c r="B265" s="122"/>
      <c r="C265" s="23" t="s">
        <v>9</v>
      </c>
      <c r="D265" s="23">
        <v>60.3</v>
      </c>
      <c r="E265" s="23" t="s">
        <v>485</v>
      </c>
      <c r="F265" s="23" t="s">
        <v>486</v>
      </c>
      <c r="G265" s="85" t="s">
        <v>93</v>
      </c>
      <c r="H265" s="85" t="s">
        <v>495</v>
      </c>
      <c r="I265" s="85" t="s">
        <v>496</v>
      </c>
      <c r="J265" s="85" t="s">
        <v>497</v>
      </c>
      <c r="K265" s="85" t="s">
        <v>242</v>
      </c>
      <c r="L265" s="85" t="s">
        <v>73</v>
      </c>
      <c r="M265" s="85" t="s">
        <v>177</v>
      </c>
      <c r="N265" s="85" t="s">
        <v>108</v>
      </c>
      <c r="O265" s="85" t="s">
        <v>114</v>
      </c>
      <c r="P265" s="85" t="s">
        <v>150</v>
      </c>
      <c r="Q265" s="85" t="s">
        <v>124</v>
      </c>
      <c r="R265" s="85" t="s">
        <v>127</v>
      </c>
      <c r="S265" s="85" t="s">
        <v>498</v>
      </c>
      <c r="T265" s="85" t="s">
        <v>499</v>
      </c>
      <c r="U265" s="85" t="s">
        <v>500</v>
      </c>
      <c r="V265" s="85" t="s">
        <v>501</v>
      </c>
      <c r="W265" s="85" t="s">
        <v>502</v>
      </c>
      <c r="X265" s="85" t="s">
        <v>503</v>
      </c>
      <c r="Y265" s="85" t="s">
        <v>504</v>
      </c>
      <c r="Z265" s="85" t="s">
        <v>505</v>
      </c>
      <c r="AA265" s="85" t="s">
        <v>506</v>
      </c>
      <c r="AB265" s="19"/>
    </row>
    <row r="266" spans="1:28" x14ac:dyDescent="0.2">
      <c r="A266" s="114"/>
      <c r="B266" s="7"/>
      <c r="AB266" s="19"/>
    </row>
    <row r="267" spans="1:28" x14ac:dyDescent="0.2">
      <c r="B267" s="7"/>
      <c r="D267" s="25">
        <v>2.3507642799678199</v>
      </c>
      <c r="E267" s="25">
        <v>2.3333333333333335</v>
      </c>
      <c r="AB267" s="19"/>
    </row>
    <row r="268" spans="1:28" x14ac:dyDescent="0.2">
      <c r="B268" s="7"/>
      <c r="D268" s="25">
        <v>3.4746580852775542</v>
      </c>
      <c r="E268" s="25">
        <v>3.4615384615384617</v>
      </c>
      <c r="AB268" s="19"/>
    </row>
    <row r="269" spans="1:28" x14ac:dyDescent="0.2">
      <c r="B269" s="7"/>
      <c r="D269" s="25">
        <v>4.532582461786002</v>
      </c>
      <c r="E269" s="25">
        <v>4.5128205128205128</v>
      </c>
      <c r="AB269" s="19"/>
    </row>
    <row r="270" spans="1:28" x14ac:dyDescent="0.2">
      <c r="B270" s="7"/>
      <c r="AB270" s="19"/>
    </row>
    <row r="271" spans="1:28" x14ac:dyDescent="0.2">
      <c r="B271" s="7"/>
      <c r="D271" s="25">
        <v>2.5463535228677383</v>
      </c>
      <c r="E271" s="25">
        <v>2.6085271317829459</v>
      </c>
      <c r="AB271" s="19"/>
    </row>
    <row r="272" spans="1:28" x14ac:dyDescent="0.2">
      <c r="B272" s="7"/>
      <c r="D272" s="25">
        <v>3.819530284301607</v>
      </c>
      <c r="E272" s="25">
        <v>3.8798449612403099</v>
      </c>
      <c r="AB272" s="19"/>
    </row>
    <row r="273" spans="1:28" x14ac:dyDescent="0.2">
      <c r="B273" s="7"/>
      <c r="D273" s="25">
        <v>4.49938195302843</v>
      </c>
      <c r="E273" s="25">
        <v>4.5775193798449614</v>
      </c>
      <c r="AB273" s="19"/>
    </row>
    <row r="274" spans="1:28" x14ac:dyDescent="0.2">
      <c r="B274" s="7"/>
      <c r="AB274" s="19"/>
    </row>
    <row r="275" spans="1:28" x14ac:dyDescent="0.2">
      <c r="B275" s="7"/>
      <c r="D275" s="25">
        <v>3.11347808275297</v>
      </c>
      <c r="E275" s="25">
        <v>3.1003134796238245</v>
      </c>
      <c r="AB275" s="19"/>
    </row>
    <row r="276" spans="1:28" x14ac:dyDescent="0.2">
      <c r="B276" s="7"/>
      <c r="D276" s="25">
        <v>4.1069233920524377</v>
      </c>
      <c r="E276" s="25">
        <v>4.1065830721003138</v>
      </c>
      <c r="AB276" s="19"/>
    </row>
    <row r="277" spans="1:28" x14ac:dyDescent="0.2">
      <c r="D277" s="25">
        <v>4.3015157722244988</v>
      </c>
      <c r="E277" s="25">
        <v>4.3009404388714731</v>
      </c>
      <c r="AB277" s="60"/>
    </row>
    <row r="278" spans="1:28" x14ac:dyDescent="0.2">
      <c r="AB278" s="60"/>
    </row>
    <row r="279" spans="1:28" x14ac:dyDescent="0.2">
      <c r="AB279" s="19"/>
    </row>
    <row r="280" spans="1:28" x14ac:dyDescent="0.2">
      <c r="AB280" s="60"/>
    </row>
    <row r="281" spans="1:28" x14ac:dyDescent="0.2">
      <c r="AB281" s="60"/>
    </row>
    <row r="282" spans="1:28" x14ac:dyDescent="0.2">
      <c r="AB282" s="60"/>
    </row>
    <row r="283" spans="1:28" ht="23.25" x14ac:dyDescent="0.2">
      <c r="Y283" s="20"/>
      <c r="Z283" s="20"/>
      <c r="AA283" s="20"/>
      <c r="AB283" s="60"/>
    </row>
    <row r="284" spans="1:28" ht="23.25" x14ac:dyDescent="0.2">
      <c r="A284" s="113" t="s">
        <v>64</v>
      </c>
      <c r="B284" s="113"/>
      <c r="C284" s="113"/>
      <c r="D284" s="113"/>
      <c r="E284" s="113"/>
      <c r="F284" s="113"/>
      <c r="G284" s="113"/>
      <c r="H284" s="113"/>
      <c r="I284" s="113"/>
      <c r="J284" s="113"/>
      <c r="K284" s="113"/>
      <c r="L284" s="113"/>
      <c r="M284" s="113"/>
      <c r="N284" s="113"/>
      <c r="O284" s="113"/>
      <c r="P284" s="113"/>
      <c r="Q284" s="113"/>
      <c r="R284" s="113"/>
      <c r="S284" s="113"/>
      <c r="T284" s="113"/>
      <c r="U284" s="20"/>
      <c r="V284" s="20"/>
      <c r="W284" s="20"/>
      <c r="X284" s="20"/>
      <c r="AB284" s="60"/>
    </row>
    <row r="285" spans="1:28" x14ac:dyDescent="0.2">
      <c r="C285" s="7"/>
      <c r="D285" s="23" t="s">
        <v>47</v>
      </c>
      <c r="E285" s="23" t="s">
        <v>48</v>
      </c>
      <c r="F285" s="23" t="s">
        <v>49</v>
      </c>
      <c r="G285" s="23" t="s">
        <v>50</v>
      </c>
      <c r="H285" s="23" t="s">
        <v>51</v>
      </c>
      <c r="I285" s="23" t="s">
        <v>52</v>
      </c>
      <c r="J285" s="23" t="s">
        <v>53</v>
      </c>
      <c r="K285" s="29">
        <v>0.01</v>
      </c>
      <c r="L285" s="29">
        <v>0.05</v>
      </c>
      <c r="M285" s="29">
        <v>0.1</v>
      </c>
      <c r="N285" s="29">
        <v>0.2</v>
      </c>
      <c r="O285" s="30">
        <v>0.3</v>
      </c>
      <c r="P285" s="30">
        <v>0.4</v>
      </c>
      <c r="Q285" s="30">
        <v>0.5</v>
      </c>
      <c r="R285" s="30">
        <v>0.6</v>
      </c>
      <c r="S285" s="30">
        <v>0.7</v>
      </c>
      <c r="T285" s="30">
        <v>0.8</v>
      </c>
      <c r="U285" s="30">
        <v>0.9</v>
      </c>
      <c r="V285" s="30">
        <v>0.95</v>
      </c>
      <c r="W285" s="30">
        <v>0.99</v>
      </c>
      <c r="X285" s="29">
        <v>0.995</v>
      </c>
      <c r="Y285" s="29">
        <v>0.999</v>
      </c>
      <c r="Z285" s="29">
        <v>0.99950000000000006</v>
      </c>
      <c r="AA285" s="29">
        <v>0.99990000000000001</v>
      </c>
      <c r="AB285" s="60"/>
    </row>
    <row r="286" spans="1:28" x14ac:dyDescent="0.2">
      <c r="A286" s="19"/>
      <c r="B286" s="137" t="s">
        <v>58</v>
      </c>
      <c r="C286" s="23" t="s">
        <v>54</v>
      </c>
      <c r="D286" s="23" t="s">
        <v>118</v>
      </c>
      <c r="E286" s="23" t="s">
        <v>119</v>
      </c>
      <c r="F286" s="23" t="s">
        <v>120</v>
      </c>
      <c r="G286" s="23" t="s">
        <v>68</v>
      </c>
      <c r="H286" s="23" t="s">
        <v>121</v>
      </c>
      <c r="I286" s="23" t="s">
        <v>122</v>
      </c>
      <c r="J286" s="23" t="s">
        <v>123</v>
      </c>
      <c r="K286" s="29" t="s">
        <v>124</v>
      </c>
      <c r="L286" s="29" t="s">
        <v>125</v>
      </c>
      <c r="M286" s="29" t="s">
        <v>126</v>
      </c>
      <c r="N286" s="29" t="s">
        <v>127</v>
      </c>
      <c r="O286" s="30" t="s">
        <v>128</v>
      </c>
      <c r="P286" s="30" t="s">
        <v>129</v>
      </c>
      <c r="Q286" s="30" t="s">
        <v>130</v>
      </c>
      <c r="R286" s="30" t="s">
        <v>131</v>
      </c>
      <c r="S286" s="30" t="s">
        <v>132</v>
      </c>
      <c r="T286" s="30" t="s">
        <v>133</v>
      </c>
      <c r="U286" s="30" t="s">
        <v>134</v>
      </c>
      <c r="V286" s="30" t="s">
        <v>135</v>
      </c>
      <c r="W286" s="30" t="s">
        <v>90</v>
      </c>
      <c r="X286" s="29" t="s">
        <v>136</v>
      </c>
      <c r="Y286" s="29" t="s">
        <v>137</v>
      </c>
      <c r="Z286" s="29" t="s">
        <v>137</v>
      </c>
      <c r="AA286" s="29" t="s">
        <v>138</v>
      </c>
      <c r="AB286" s="60"/>
    </row>
    <row r="287" spans="1:28" x14ac:dyDescent="0.2">
      <c r="A287" s="114" t="s">
        <v>61</v>
      </c>
      <c r="B287" s="137"/>
      <c r="C287" s="23" t="s">
        <v>57</v>
      </c>
      <c r="D287" s="33">
        <f>D286*4.1</f>
        <v>8335.2999999999993</v>
      </c>
      <c r="E287" s="33">
        <f>E286*4.1</f>
        <v>260.34999999999997</v>
      </c>
      <c r="F287" s="23"/>
      <c r="G287" s="23"/>
      <c r="H287" s="23"/>
      <c r="I287" s="23"/>
      <c r="J287" s="23"/>
      <c r="K287" s="23" t="s">
        <v>113</v>
      </c>
      <c r="L287" s="23" t="s">
        <v>114</v>
      </c>
      <c r="M287" s="23" t="s">
        <v>146</v>
      </c>
      <c r="N287" s="23" t="s">
        <v>115</v>
      </c>
      <c r="O287" s="23" t="s">
        <v>149</v>
      </c>
      <c r="P287" s="23" t="s">
        <v>165</v>
      </c>
      <c r="Q287" s="23" t="s">
        <v>150</v>
      </c>
      <c r="R287" s="23" t="s">
        <v>245</v>
      </c>
      <c r="S287" s="23" t="s">
        <v>217</v>
      </c>
      <c r="T287" s="23" t="s">
        <v>124</v>
      </c>
      <c r="U287" s="23" t="s">
        <v>126</v>
      </c>
      <c r="V287" s="23" t="s">
        <v>321</v>
      </c>
      <c r="W287" s="23" t="s">
        <v>472</v>
      </c>
      <c r="X287" s="23" t="s">
        <v>79</v>
      </c>
      <c r="Y287" s="23" t="s">
        <v>528</v>
      </c>
      <c r="Z287" s="23" t="s">
        <v>768</v>
      </c>
      <c r="AA287" s="81" t="s">
        <v>154</v>
      </c>
      <c r="AB287" s="60"/>
    </row>
    <row r="288" spans="1:28" ht="18" customHeight="1" x14ac:dyDescent="0.2">
      <c r="A288" s="114"/>
      <c r="B288" s="137"/>
      <c r="C288" s="23" t="s">
        <v>56</v>
      </c>
      <c r="D288" s="33">
        <f>2033*33.7/63.5</f>
        <v>1078.9307086614174</v>
      </c>
      <c r="E288" s="23">
        <v>33.700000000000003</v>
      </c>
      <c r="F288" s="23"/>
      <c r="G288" s="23"/>
      <c r="H288" s="23"/>
      <c r="I288" s="23"/>
      <c r="J288" s="23"/>
      <c r="K288" s="33">
        <f>K5*E5/E288</f>
        <v>282.51739406264198</v>
      </c>
      <c r="L288" s="33">
        <f>L5*E5/E288</f>
        <v>298.9992113126188</v>
      </c>
      <c r="M288" s="33">
        <f>M5*E5/E288</f>
        <v>314.5458801208909</v>
      </c>
      <c r="N288" s="33">
        <f>N5*E5/E288</f>
        <v>334.00885690414134</v>
      </c>
      <c r="O288" s="33">
        <f>O5*E5/E288</f>
        <v>349.06719084822117</v>
      </c>
      <c r="P288" s="33">
        <f>P5*E5/E288</f>
        <v>359.07941139453271</v>
      </c>
      <c r="Q288" s="33">
        <f>Q5*E5/E288</f>
        <v>358.23901684956513</v>
      </c>
      <c r="R288" s="33">
        <f>R5*E5/E288</f>
        <v>366.64230611816794</v>
      </c>
      <c r="S288" s="33">
        <f>S5*E5/E288</f>
        <v>370.79450197720979</v>
      </c>
      <c r="T288" s="33">
        <f>T5*E5/E288</f>
        <v>373.60386889256353</v>
      </c>
      <c r="U288" s="33">
        <f>U5*E5/E288</f>
        <v>401.09422449370072</v>
      </c>
      <c r="V288" s="33">
        <f>V5*E5/E288</f>
        <v>433.56498365309841</v>
      </c>
      <c r="W288" s="33">
        <f>W5*E5/E288</f>
        <v>577.70227875053797</v>
      </c>
      <c r="X288" s="33">
        <f>X5*E5/E288</f>
        <v>113052.06948754541</v>
      </c>
      <c r="Y288" s="33">
        <f>Y5*E5/E288</f>
        <v>114262.82276636391</v>
      </c>
      <c r="Z288" s="33">
        <f>Z5*E5/E288</f>
        <v>114262.82276636391</v>
      </c>
      <c r="AA288" s="33">
        <f>AA5*E5/E288</f>
        <v>115471.26984846084</v>
      </c>
      <c r="AB288" s="60"/>
    </row>
    <row r="289" spans="1:28" x14ac:dyDescent="0.2">
      <c r="A289" s="114"/>
      <c r="B289" s="137"/>
      <c r="C289" s="23" t="s">
        <v>55</v>
      </c>
      <c r="D289" s="23" t="s">
        <v>522</v>
      </c>
      <c r="E289" s="23" t="s">
        <v>483</v>
      </c>
      <c r="F289" s="23" t="s">
        <v>523</v>
      </c>
      <c r="G289" s="23" t="s">
        <v>107</v>
      </c>
      <c r="H289" s="23" t="s">
        <v>524</v>
      </c>
      <c r="I289" s="23" t="s">
        <v>525</v>
      </c>
      <c r="J289" s="23" t="s">
        <v>526</v>
      </c>
      <c r="K289" s="23" t="s">
        <v>112</v>
      </c>
      <c r="L289" s="23" t="s">
        <v>194</v>
      </c>
      <c r="M289" s="23" t="s">
        <v>114</v>
      </c>
      <c r="N289" s="23" t="s">
        <v>146</v>
      </c>
      <c r="O289" s="23" t="s">
        <v>148</v>
      </c>
      <c r="P289" s="23" t="s">
        <v>150</v>
      </c>
      <c r="Q289" s="23" t="s">
        <v>167</v>
      </c>
      <c r="R289" s="23" t="s">
        <v>116</v>
      </c>
      <c r="S289" s="23" t="s">
        <v>151</v>
      </c>
      <c r="T289" s="23" t="s">
        <v>126</v>
      </c>
      <c r="U289" s="23" t="s">
        <v>129</v>
      </c>
      <c r="V289" s="23" t="s">
        <v>195</v>
      </c>
      <c r="W289" s="23" t="s">
        <v>527</v>
      </c>
      <c r="X289" s="23" t="s">
        <v>79</v>
      </c>
      <c r="Y289" s="23" t="s">
        <v>528</v>
      </c>
      <c r="Z289" s="23" t="s">
        <v>529</v>
      </c>
      <c r="AA289" s="81" t="s">
        <v>345</v>
      </c>
      <c r="AB289" s="60"/>
    </row>
    <row r="290" spans="1:28" x14ac:dyDescent="0.2">
      <c r="A290" s="114"/>
      <c r="B290" s="137"/>
      <c r="C290" s="23" t="s">
        <v>9</v>
      </c>
      <c r="D290" s="23" t="s">
        <v>522</v>
      </c>
      <c r="E290" s="23" t="s">
        <v>483</v>
      </c>
      <c r="F290" s="23" t="s">
        <v>523</v>
      </c>
      <c r="G290" s="23" t="s">
        <v>107</v>
      </c>
      <c r="H290" s="23" t="s">
        <v>524</v>
      </c>
      <c r="I290" s="23" t="s">
        <v>525</v>
      </c>
      <c r="J290" s="23" t="s">
        <v>526</v>
      </c>
      <c r="K290" s="23" t="s">
        <v>112</v>
      </c>
      <c r="L290" s="23" t="s">
        <v>194</v>
      </c>
      <c r="M290" s="23" t="s">
        <v>114</v>
      </c>
      <c r="N290" s="23" t="s">
        <v>146</v>
      </c>
      <c r="O290" s="23" t="s">
        <v>148</v>
      </c>
      <c r="P290" s="23" t="s">
        <v>150</v>
      </c>
      <c r="Q290" s="23" t="s">
        <v>167</v>
      </c>
      <c r="R290" s="23" t="s">
        <v>116</v>
      </c>
      <c r="S290" s="23" t="s">
        <v>151</v>
      </c>
      <c r="T290" s="23" t="s">
        <v>126</v>
      </c>
      <c r="U290" s="23" t="s">
        <v>129</v>
      </c>
      <c r="V290" s="23" t="s">
        <v>195</v>
      </c>
      <c r="W290" s="23" t="s">
        <v>527</v>
      </c>
      <c r="X290" s="23" t="s">
        <v>79</v>
      </c>
      <c r="Y290" s="23" t="s">
        <v>528</v>
      </c>
      <c r="Z290" s="23" t="s">
        <v>529</v>
      </c>
      <c r="AA290" s="81" t="s">
        <v>345</v>
      </c>
      <c r="AB290" s="60"/>
    </row>
    <row r="291" spans="1:28" x14ac:dyDescent="0.2">
      <c r="A291" s="114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AB291" s="60"/>
    </row>
    <row r="292" spans="1:28" x14ac:dyDescent="0.2">
      <c r="A292" s="114"/>
      <c r="C292" s="7"/>
      <c r="D292" s="23" t="s">
        <v>47</v>
      </c>
      <c r="E292" s="23" t="s">
        <v>48</v>
      </c>
      <c r="F292" s="23" t="s">
        <v>49</v>
      </c>
      <c r="G292" s="23" t="s">
        <v>50</v>
      </c>
      <c r="H292" s="23" t="s">
        <v>51</v>
      </c>
      <c r="I292" s="23" t="s">
        <v>52</v>
      </c>
      <c r="J292" s="23" t="s">
        <v>53</v>
      </c>
      <c r="K292" s="29">
        <v>0.01</v>
      </c>
      <c r="L292" s="29">
        <v>0.05</v>
      </c>
      <c r="M292" s="29">
        <v>0.1</v>
      </c>
      <c r="N292" s="29">
        <v>0.2</v>
      </c>
      <c r="O292" s="30">
        <v>0.3</v>
      </c>
      <c r="P292" s="30">
        <v>0.4</v>
      </c>
      <c r="Q292" s="30">
        <v>0.5</v>
      </c>
      <c r="R292" s="30">
        <v>0.6</v>
      </c>
      <c r="S292" s="30">
        <v>0.7</v>
      </c>
      <c r="T292" s="30">
        <v>0.8</v>
      </c>
      <c r="U292" s="30">
        <v>0.9</v>
      </c>
      <c r="V292" s="30">
        <v>0.95</v>
      </c>
      <c r="W292" s="30">
        <v>0.99</v>
      </c>
      <c r="X292" s="29">
        <v>0.995</v>
      </c>
      <c r="Y292" s="29">
        <v>0.999</v>
      </c>
      <c r="Z292" s="29">
        <v>0.99950000000000006</v>
      </c>
      <c r="AA292" s="29">
        <v>0.99990000000000001</v>
      </c>
      <c r="AB292" s="60"/>
    </row>
    <row r="293" spans="1:28" x14ac:dyDescent="0.2">
      <c r="A293" s="114"/>
      <c r="B293" s="137" t="s">
        <v>58</v>
      </c>
      <c r="C293" s="23" t="s">
        <v>54</v>
      </c>
      <c r="D293" s="23" t="s">
        <v>590</v>
      </c>
      <c r="E293" s="23" t="s">
        <v>591</v>
      </c>
      <c r="F293" s="23" t="s">
        <v>592</v>
      </c>
      <c r="G293" s="23" t="s">
        <v>95</v>
      </c>
      <c r="H293" s="23" t="s">
        <v>593</v>
      </c>
      <c r="I293" s="23" t="s">
        <v>594</v>
      </c>
      <c r="J293" s="23" t="s">
        <v>595</v>
      </c>
      <c r="K293" s="29" t="s">
        <v>81</v>
      </c>
      <c r="L293" s="29" t="s">
        <v>68</v>
      </c>
      <c r="M293" s="29" t="s">
        <v>68</v>
      </c>
      <c r="N293" s="29" t="s">
        <v>68</v>
      </c>
      <c r="O293" s="30" t="s">
        <v>68</v>
      </c>
      <c r="P293" s="30" t="s">
        <v>244</v>
      </c>
      <c r="Q293" s="30" t="s">
        <v>233</v>
      </c>
      <c r="R293" s="30" t="s">
        <v>111</v>
      </c>
      <c r="S293" s="30" t="s">
        <v>125</v>
      </c>
      <c r="T293" s="30" t="s">
        <v>152</v>
      </c>
      <c r="U293" s="30" t="s">
        <v>342</v>
      </c>
      <c r="V293" s="30" t="s">
        <v>263</v>
      </c>
      <c r="W293" s="30" t="s">
        <v>322</v>
      </c>
      <c r="X293" s="29" t="s">
        <v>596</v>
      </c>
      <c r="Y293" s="29" t="s">
        <v>597</v>
      </c>
      <c r="Z293" s="29" t="s">
        <v>597</v>
      </c>
      <c r="AA293" s="29" t="s">
        <v>597</v>
      </c>
      <c r="AB293" s="60"/>
    </row>
    <row r="294" spans="1:28" x14ac:dyDescent="0.2">
      <c r="A294" s="114"/>
      <c r="B294" s="137"/>
      <c r="C294" s="23" t="s">
        <v>57</v>
      </c>
      <c r="D294" s="33">
        <f>D296*E294/E296</f>
        <v>9002.4638554216872</v>
      </c>
      <c r="E294" s="33">
        <f>E287*E297/E290</f>
        <v>281.26164658634536</v>
      </c>
      <c r="F294" s="23"/>
      <c r="G294" s="23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3"/>
      <c r="AA294" s="81"/>
      <c r="AB294" s="60"/>
    </row>
    <row r="295" spans="1:28" x14ac:dyDescent="0.2">
      <c r="A295" s="114"/>
      <c r="B295" s="137"/>
      <c r="C295" s="23" t="s">
        <v>56</v>
      </c>
      <c r="D295" s="33">
        <f>2529*78.6/79</f>
        <v>2516.1949367088605</v>
      </c>
      <c r="E295" s="56">
        <f>E288*E267</f>
        <v>78.63333333333334</v>
      </c>
      <c r="F295" s="23"/>
      <c r="G295" s="23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23"/>
      <c r="AA295" s="81"/>
      <c r="AB295" s="60"/>
    </row>
    <row r="296" spans="1:28" x14ac:dyDescent="0.2">
      <c r="A296" s="114"/>
      <c r="B296" s="137"/>
      <c r="C296" s="23" t="s">
        <v>55</v>
      </c>
      <c r="D296" s="23" t="s">
        <v>530</v>
      </c>
      <c r="E296" s="23" t="s">
        <v>501</v>
      </c>
      <c r="F296" s="23" t="s">
        <v>531</v>
      </c>
      <c r="G296" s="23" t="s">
        <v>181</v>
      </c>
      <c r="H296" s="23" t="s">
        <v>532</v>
      </c>
      <c r="I296" s="23" t="s">
        <v>533</v>
      </c>
      <c r="J296" s="23" t="s">
        <v>534</v>
      </c>
      <c r="K296" s="23" t="s">
        <v>110</v>
      </c>
      <c r="L296" s="23" t="s">
        <v>77</v>
      </c>
      <c r="M296" s="23" t="s">
        <v>194</v>
      </c>
      <c r="N296" s="23" t="s">
        <v>146</v>
      </c>
      <c r="O296" s="23" t="s">
        <v>148</v>
      </c>
      <c r="P296" s="23" t="s">
        <v>165</v>
      </c>
      <c r="Q296" s="23" t="s">
        <v>166</v>
      </c>
      <c r="R296" s="23" t="s">
        <v>217</v>
      </c>
      <c r="S296" s="23" t="s">
        <v>116</v>
      </c>
      <c r="T296" s="23" t="s">
        <v>258</v>
      </c>
      <c r="U296" s="23" t="s">
        <v>117</v>
      </c>
      <c r="V296" s="23" t="s">
        <v>131</v>
      </c>
      <c r="W296" s="23" t="s">
        <v>472</v>
      </c>
      <c r="X296" s="23" t="s">
        <v>79</v>
      </c>
      <c r="Y296" s="23" t="s">
        <v>535</v>
      </c>
      <c r="Z296" s="23" t="s">
        <v>536</v>
      </c>
      <c r="AA296" s="81" t="s">
        <v>537</v>
      </c>
      <c r="AB296" s="60"/>
    </row>
    <row r="297" spans="1:28" x14ac:dyDescent="0.2">
      <c r="A297" s="114"/>
      <c r="B297" s="137"/>
      <c r="C297" s="23" t="s">
        <v>9</v>
      </c>
      <c r="D297" s="23" t="s">
        <v>530</v>
      </c>
      <c r="E297" s="23" t="s">
        <v>501</v>
      </c>
      <c r="F297" s="23" t="s">
        <v>531</v>
      </c>
      <c r="G297" s="23" t="s">
        <v>181</v>
      </c>
      <c r="H297" s="23" t="s">
        <v>532</v>
      </c>
      <c r="I297" s="23" t="s">
        <v>533</v>
      </c>
      <c r="J297" s="23" t="s">
        <v>534</v>
      </c>
      <c r="K297" s="23" t="s">
        <v>110</v>
      </c>
      <c r="L297" s="23" t="s">
        <v>77</v>
      </c>
      <c r="M297" s="23" t="s">
        <v>194</v>
      </c>
      <c r="N297" s="23" t="s">
        <v>146</v>
      </c>
      <c r="O297" s="23" t="s">
        <v>148</v>
      </c>
      <c r="P297" s="23" t="s">
        <v>165</v>
      </c>
      <c r="Q297" s="23" t="s">
        <v>166</v>
      </c>
      <c r="R297" s="23" t="s">
        <v>217</v>
      </c>
      <c r="S297" s="23" t="s">
        <v>116</v>
      </c>
      <c r="T297" s="23" t="s">
        <v>258</v>
      </c>
      <c r="U297" s="23" t="s">
        <v>117</v>
      </c>
      <c r="V297" s="23" t="s">
        <v>131</v>
      </c>
      <c r="W297" s="23" t="s">
        <v>472</v>
      </c>
      <c r="X297" s="23" t="s">
        <v>79</v>
      </c>
      <c r="Y297" s="23" t="s">
        <v>535</v>
      </c>
      <c r="Z297" s="23" t="s">
        <v>536</v>
      </c>
      <c r="AA297" s="81" t="s">
        <v>537</v>
      </c>
      <c r="AB297" s="60"/>
    </row>
    <row r="298" spans="1:28" x14ac:dyDescent="0.2">
      <c r="A298" s="114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AB298" s="60"/>
    </row>
    <row r="299" spans="1:28" x14ac:dyDescent="0.2">
      <c r="A299" s="114"/>
      <c r="C299" s="7"/>
      <c r="D299" s="23" t="s">
        <v>47</v>
      </c>
      <c r="E299" s="23" t="s">
        <v>48</v>
      </c>
      <c r="F299" s="23" t="s">
        <v>49</v>
      </c>
      <c r="G299" s="23" t="s">
        <v>50</v>
      </c>
      <c r="H299" s="23" t="s">
        <v>51</v>
      </c>
      <c r="I299" s="23" t="s">
        <v>52</v>
      </c>
      <c r="J299" s="23" t="s">
        <v>53</v>
      </c>
      <c r="K299" s="29">
        <v>0.01</v>
      </c>
      <c r="L299" s="29">
        <v>0.05</v>
      </c>
      <c r="M299" s="29">
        <v>0.1</v>
      </c>
      <c r="N299" s="29">
        <v>0.2</v>
      </c>
      <c r="O299" s="30">
        <v>0.3</v>
      </c>
      <c r="P299" s="30">
        <v>0.4</v>
      </c>
      <c r="Q299" s="30">
        <v>0.5</v>
      </c>
      <c r="R299" s="30">
        <v>0.6</v>
      </c>
      <c r="S299" s="30">
        <v>0.7</v>
      </c>
      <c r="T299" s="30">
        <v>0.8</v>
      </c>
      <c r="U299" s="30">
        <v>0.9</v>
      </c>
      <c r="V299" s="30">
        <v>0.95</v>
      </c>
      <c r="W299" s="30">
        <v>0.99</v>
      </c>
      <c r="X299" s="29">
        <v>0.995</v>
      </c>
      <c r="Y299" s="29">
        <v>0.999</v>
      </c>
      <c r="Z299" s="29">
        <v>0.99950000000000006</v>
      </c>
      <c r="AA299" s="29">
        <v>0.99990000000000001</v>
      </c>
      <c r="AB299" s="60"/>
    </row>
    <row r="300" spans="1:28" x14ac:dyDescent="0.2">
      <c r="A300" s="114"/>
      <c r="B300" s="137" t="s">
        <v>58</v>
      </c>
      <c r="C300" s="23" t="s">
        <v>54</v>
      </c>
      <c r="D300" s="23">
        <v>2688</v>
      </c>
      <c r="E300" s="23">
        <v>84</v>
      </c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  <c r="AA300" s="81"/>
      <c r="AB300" s="60"/>
    </row>
    <row r="301" spans="1:28" x14ac:dyDescent="0.2">
      <c r="A301" s="114"/>
      <c r="B301" s="137"/>
      <c r="C301" s="23" t="s">
        <v>57</v>
      </c>
      <c r="D301" s="33">
        <f>D304*E301/E304</f>
        <v>9554.566782014319</v>
      </c>
      <c r="E301" s="33">
        <f>E294*E300/E293</f>
        <v>299.06301662345584</v>
      </c>
      <c r="F301" s="23"/>
      <c r="G301" s="23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23"/>
      <c r="AA301" s="81"/>
      <c r="AB301" s="60"/>
    </row>
    <row r="302" spans="1:28" x14ac:dyDescent="0.2">
      <c r="A302" s="114"/>
      <c r="B302" s="137"/>
      <c r="C302" s="23" t="s">
        <v>56</v>
      </c>
      <c r="D302" s="33">
        <f>2688*116.7/84</f>
        <v>3734.4000000000005</v>
      </c>
      <c r="E302" s="56">
        <f>E288*E268</f>
        <v>116.65384615384617</v>
      </c>
      <c r="F302" s="23"/>
      <c r="G302" s="23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23"/>
      <c r="AA302" s="81"/>
      <c r="AB302" s="60"/>
    </row>
    <row r="303" spans="1:28" x14ac:dyDescent="0.2">
      <c r="A303" s="114"/>
      <c r="B303" s="137"/>
      <c r="C303" s="23" t="s">
        <v>55</v>
      </c>
      <c r="D303" s="23" t="s">
        <v>538</v>
      </c>
      <c r="E303" s="23" t="s">
        <v>539</v>
      </c>
      <c r="F303" s="23" t="s">
        <v>540</v>
      </c>
      <c r="G303" s="23" t="s">
        <v>181</v>
      </c>
      <c r="H303" s="23" t="s">
        <v>541</v>
      </c>
      <c r="I303" s="23" t="s">
        <v>542</v>
      </c>
      <c r="J303" s="23" t="s">
        <v>543</v>
      </c>
      <c r="K303" s="23" t="s">
        <v>110</v>
      </c>
      <c r="L303" s="23" t="s">
        <v>112</v>
      </c>
      <c r="M303" s="23" t="s">
        <v>113</v>
      </c>
      <c r="N303" s="23" t="s">
        <v>194</v>
      </c>
      <c r="O303" s="23" t="s">
        <v>146</v>
      </c>
      <c r="P303" s="23" t="s">
        <v>115</v>
      </c>
      <c r="Q303" s="23" t="s">
        <v>149</v>
      </c>
      <c r="R303" s="23" t="s">
        <v>150</v>
      </c>
      <c r="S303" s="23" t="s">
        <v>245</v>
      </c>
      <c r="T303" s="23" t="s">
        <v>217</v>
      </c>
      <c r="U303" s="23" t="s">
        <v>151</v>
      </c>
      <c r="V303" s="23" t="s">
        <v>78</v>
      </c>
      <c r="W303" s="23" t="s">
        <v>264</v>
      </c>
      <c r="X303" s="23" t="s">
        <v>79</v>
      </c>
      <c r="Y303" s="23" t="s">
        <v>535</v>
      </c>
      <c r="Z303" s="23" t="s">
        <v>544</v>
      </c>
      <c r="AA303" s="81" t="s">
        <v>154</v>
      </c>
      <c r="AB303" s="60"/>
    </row>
    <row r="304" spans="1:28" x14ac:dyDescent="0.2">
      <c r="A304" s="114"/>
      <c r="B304" s="137"/>
      <c r="C304" s="23" t="s">
        <v>9</v>
      </c>
      <c r="D304" s="23" t="s">
        <v>538</v>
      </c>
      <c r="E304" s="23" t="s">
        <v>539</v>
      </c>
      <c r="F304" s="23" t="s">
        <v>540</v>
      </c>
      <c r="G304" s="23" t="s">
        <v>181</v>
      </c>
      <c r="H304" s="23" t="s">
        <v>541</v>
      </c>
      <c r="I304" s="23" t="s">
        <v>542</v>
      </c>
      <c r="J304" s="23" t="s">
        <v>543</v>
      </c>
      <c r="K304" s="23" t="s">
        <v>110</v>
      </c>
      <c r="L304" s="23" t="s">
        <v>112</v>
      </c>
      <c r="M304" s="23" t="s">
        <v>113</v>
      </c>
      <c r="N304" s="23" t="s">
        <v>194</v>
      </c>
      <c r="O304" s="23" t="s">
        <v>146</v>
      </c>
      <c r="P304" s="23" t="s">
        <v>115</v>
      </c>
      <c r="Q304" s="23" t="s">
        <v>149</v>
      </c>
      <c r="R304" s="23" t="s">
        <v>150</v>
      </c>
      <c r="S304" s="23" t="s">
        <v>245</v>
      </c>
      <c r="T304" s="23" t="s">
        <v>217</v>
      </c>
      <c r="U304" s="23" t="s">
        <v>151</v>
      </c>
      <c r="V304" s="23" t="s">
        <v>78</v>
      </c>
      <c r="W304" s="23" t="s">
        <v>264</v>
      </c>
      <c r="X304" s="23" t="s">
        <v>79</v>
      </c>
      <c r="Y304" s="23" t="s">
        <v>535</v>
      </c>
      <c r="Z304" s="23" t="s">
        <v>544</v>
      </c>
      <c r="AA304" s="81" t="s">
        <v>154</v>
      </c>
      <c r="AB304" s="60"/>
    </row>
    <row r="305" spans="1:28" x14ac:dyDescent="0.2">
      <c r="A305" s="114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AB305" s="60"/>
    </row>
    <row r="306" spans="1:28" x14ac:dyDescent="0.2">
      <c r="A306" s="114"/>
      <c r="C306" s="7"/>
      <c r="D306" s="23" t="s">
        <v>47</v>
      </c>
      <c r="E306" s="23" t="s">
        <v>48</v>
      </c>
      <c r="F306" s="23" t="s">
        <v>49</v>
      </c>
      <c r="G306" s="23" t="s">
        <v>50</v>
      </c>
      <c r="H306" s="23" t="s">
        <v>51</v>
      </c>
      <c r="I306" s="23" t="s">
        <v>52</v>
      </c>
      <c r="J306" s="23" t="s">
        <v>53</v>
      </c>
      <c r="K306" s="29">
        <v>0.01</v>
      </c>
      <c r="L306" s="29">
        <v>0.05</v>
      </c>
      <c r="M306" s="29">
        <v>0.1</v>
      </c>
      <c r="N306" s="29">
        <v>0.2</v>
      </c>
      <c r="O306" s="30">
        <v>0.3</v>
      </c>
      <c r="P306" s="30">
        <v>0.4</v>
      </c>
      <c r="Q306" s="30">
        <v>0.5</v>
      </c>
      <c r="R306" s="30">
        <v>0.6</v>
      </c>
      <c r="S306" s="30">
        <v>0.7</v>
      </c>
      <c r="T306" s="30">
        <v>0.8</v>
      </c>
      <c r="U306" s="30">
        <v>0.9</v>
      </c>
      <c r="V306" s="30">
        <v>0.95</v>
      </c>
      <c r="W306" s="30">
        <v>0.99</v>
      </c>
      <c r="X306" s="29">
        <v>0.995</v>
      </c>
      <c r="Y306" s="29">
        <v>0.999</v>
      </c>
      <c r="Z306" s="29">
        <v>0.99950000000000006</v>
      </c>
      <c r="AA306" s="29">
        <v>0.99990000000000001</v>
      </c>
      <c r="AB306" s="60"/>
    </row>
    <row r="307" spans="1:28" x14ac:dyDescent="0.2">
      <c r="A307" s="114"/>
      <c r="B307" s="137" t="s">
        <v>58</v>
      </c>
      <c r="C307" s="23" t="s">
        <v>54</v>
      </c>
      <c r="D307" s="23">
        <v>2690</v>
      </c>
      <c r="E307" s="23">
        <v>84.1</v>
      </c>
      <c r="F307" s="23"/>
      <c r="G307" s="23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  <c r="AA307" s="81"/>
      <c r="AB307" s="60"/>
    </row>
    <row r="308" spans="1:28" x14ac:dyDescent="0.2">
      <c r="A308" s="114"/>
      <c r="B308" s="137"/>
      <c r="C308" s="23" t="s">
        <v>57</v>
      </c>
      <c r="D308" s="33">
        <f>D311*E308/E311</f>
        <v>11038.532842809362</v>
      </c>
      <c r="E308" s="33">
        <f>E287*E307/E286</f>
        <v>344.80999999999989</v>
      </c>
      <c r="F308" s="23"/>
      <c r="G308" s="23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23"/>
      <c r="AA308" s="81"/>
      <c r="AB308" s="60"/>
    </row>
    <row r="309" spans="1:28" x14ac:dyDescent="0.2">
      <c r="A309" s="114"/>
      <c r="B309" s="137"/>
      <c r="C309" s="23" t="s">
        <v>56</v>
      </c>
      <c r="D309" s="33">
        <f>2690*152.1/84</f>
        <v>4870.8214285714284</v>
      </c>
      <c r="E309" s="56">
        <f>E288*E269</f>
        <v>152.08205128205128</v>
      </c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  <c r="AA309" s="81"/>
      <c r="AB309" s="60"/>
    </row>
    <row r="310" spans="1:28" x14ac:dyDescent="0.2">
      <c r="A310" s="114"/>
      <c r="B310" s="137"/>
      <c r="C310" s="23" t="s">
        <v>55</v>
      </c>
      <c r="D310" s="23" t="s">
        <v>545</v>
      </c>
      <c r="E310" s="23" t="s">
        <v>546</v>
      </c>
      <c r="F310" s="23" t="s">
        <v>547</v>
      </c>
      <c r="G310" s="23" t="s">
        <v>108</v>
      </c>
      <c r="H310" s="23" t="s">
        <v>548</v>
      </c>
      <c r="I310" s="23" t="s">
        <v>549</v>
      </c>
      <c r="J310" s="23" t="s">
        <v>550</v>
      </c>
      <c r="K310" s="23" t="s">
        <v>112</v>
      </c>
      <c r="L310" s="23" t="s">
        <v>114</v>
      </c>
      <c r="M310" s="23" t="s">
        <v>207</v>
      </c>
      <c r="N310" s="23" t="s">
        <v>115</v>
      </c>
      <c r="O310" s="23" t="s">
        <v>149</v>
      </c>
      <c r="P310" s="23" t="s">
        <v>165</v>
      </c>
      <c r="Q310" s="23" t="s">
        <v>166</v>
      </c>
      <c r="R310" s="23" t="s">
        <v>245</v>
      </c>
      <c r="S310" s="23" t="s">
        <v>217</v>
      </c>
      <c r="T310" s="23" t="s">
        <v>124</v>
      </c>
      <c r="U310" s="23" t="s">
        <v>237</v>
      </c>
      <c r="V310" s="23" t="s">
        <v>130</v>
      </c>
      <c r="W310" s="23" t="s">
        <v>322</v>
      </c>
      <c r="X310" s="23" t="s">
        <v>79</v>
      </c>
      <c r="Y310" s="23" t="s">
        <v>551</v>
      </c>
      <c r="Z310" s="23" t="s">
        <v>552</v>
      </c>
      <c r="AA310" s="81" t="s">
        <v>154</v>
      </c>
      <c r="AB310" s="60"/>
    </row>
    <row r="311" spans="1:28" x14ac:dyDescent="0.2">
      <c r="A311" s="114"/>
      <c r="B311" s="137"/>
      <c r="C311" s="23" t="s">
        <v>9</v>
      </c>
      <c r="D311" s="23" t="s">
        <v>545</v>
      </c>
      <c r="E311" s="23" t="s">
        <v>546</v>
      </c>
      <c r="F311" s="23" t="s">
        <v>547</v>
      </c>
      <c r="G311" s="23" t="s">
        <v>108</v>
      </c>
      <c r="H311" s="23" t="s">
        <v>548</v>
      </c>
      <c r="I311" s="23" t="s">
        <v>549</v>
      </c>
      <c r="J311" s="23" t="s">
        <v>550</v>
      </c>
      <c r="K311" s="23" t="s">
        <v>112</v>
      </c>
      <c r="L311" s="23" t="s">
        <v>114</v>
      </c>
      <c r="M311" s="23" t="s">
        <v>207</v>
      </c>
      <c r="N311" s="23" t="s">
        <v>115</v>
      </c>
      <c r="O311" s="23" t="s">
        <v>149</v>
      </c>
      <c r="P311" s="23" t="s">
        <v>165</v>
      </c>
      <c r="Q311" s="23" t="s">
        <v>166</v>
      </c>
      <c r="R311" s="23" t="s">
        <v>245</v>
      </c>
      <c r="S311" s="23" t="s">
        <v>217</v>
      </c>
      <c r="T311" s="23" t="s">
        <v>124</v>
      </c>
      <c r="U311" s="23" t="s">
        <v>237</v>
      </c>
      <c r="V311" s="23" t="s">
        <v>130</v>
      </c>
      <c r="W311" s="23" t="s">
        <v>322</v>
      </c>
      <c r="X311" s="23" t="s">
        <v>79</v>
      </c>
      <c r="Y311" s="23" t="s">
        <v>551</v>
      </c>
      <c r="Z311" s="23" t="s">
        <v>552</v>
      </c>
      <c r="AA311" s="81" t="s">
        <v>154</v>
      </c>
      <c r="AB311" s="60"/>
    </row>
    <row r="312" spans="1:28" x14ac:dyDescent="0.2">
      <c r="A312" s="114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60"/>
    </row>
    <row r="313" spans="1:28" x14ac:dyDescent="0.2">
      <c r="A313" s="114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AB313" s="60"/>
    </row>
    <row r="314" spans="1:28" x14ac:dyDescent="0.2">
      <c r="A314" s="114"/>
      <c r="C314" s="14"/>
      <c r="D314" s="24" t="s">
        <v>47</v>
      </c>
      <c r="E314" s="24" t="s">
        <v>48</v>
      </c>
      <c r="F314" s="24" t="s">
        <v>49</v>
      </c>
      <c r="G314" s="24" t="s">
        <v>50</v>
      </c>
      <c r="H314" s="24" t="s">
        <v>51</v>
      </c>
      <c r="I314" s="24" t="s">
        <v>52</v>
      </c>
      <c r="J314" s="24" t="s">
        <v>53</v>
      </c>
      <c r="K314" s="35">
        <v>0.01</v>
      </c>
      <c r="L314" s="35">
        <v>0.05</v>
      </c>
      <c r="M314" s="35">
        <v>0.1</v>
      </c>
      <c r="N314" s="35">
        <v>0.2</v>
      </c>
      <c r="O314" s="36">
        <v>0.3</v>
      </c>
      <c r="P314" s="36">
        <v>0.4</v>
      </c>
      <c r="Q314" s="36">
        <v>0.5</v>
      </c>
      <c r="R314" s="36">
        <v>0.6</v>
      </c>
      <c r="S314" s="36">
        <v>0.7</v>
      </c>
      <c r="T314" s="36">
        <v>0.8</v>
      </c>
      <c r="U314" s="36">
        <v>0.9</v>
      </c>
      <c r="V314" s="36">
        <v>0.95</v>
      </c>
      <c r="W314" s="36">
        <v>0.99</v>
      </c>
      <c r="X314" s="35">
        <v>0.995</v>
      </c>
      <c r="Y314" s="35">
        <v>0.999</v>
      </c>
      <c r="Z314" s="35">
        <v>0.99950000000000006</v>
      </c>
      <c r="AA314" s="35">
        <v>0.99990000000000001</v>
      </c>
      <c r="AB314" s="60"/>
    </row>
    <row r="315" spans="1:28" x14ac:dyDescent="0.2">
      <c r="A315" s="114"/>
      <c r="B315" s="128" t="s">
        <v>59</v>
      </c>
      <c r="C315" s="24" t="s">
        <v>54</v>
      </c>
      <c r="D315" s="24">
        <f>28.2</f>
        <v>28.2</v>
      </c>
      <c r="E315" s="86">
        <v>883</v>
      </c>
      <c r="F315" s="86">
        <f>926</f>
        <v>926</v>
      </c>
      <c r="G315" s="86" t="s">
        <v>82</v>
      </c>
      <c r="H315" s="86" t="s">
        <v>83</v>
      </c>
      <c r="I315" s="86" t="s">
        <v>84</v>
      </c>
      <c r="J315" s="86" t="s">
        <v>85</v>
      </c>
      <c r="K315" s="44" t="s">
        <v>68</v>
      </c>
      <c r="L315" s="44" t="s">
        <v>86</v>
      </c>
      <c r="M315" s="44" t="s">
        <v>86</v>
      </c>
      <c r="N315" s="44" t="s">
        <v>87</v>
      </c>
      <c r="O315" s="44" t="s">
        <v>87</v>
      </c>
      <c r="P315" s="44" t="s">
        <v>88</v>
      </c>
      <c r="Q315" s="44" t="s">
        <v>89</v>
      </c>
      <c r="R315" s="44" t="s">
        <v>242</v>
      </c>
      <c r="S315" s="44" t="s">
        <v>243</v>
      </c>
      <c r="T315" s="44" t="s">
        <v>252</v>
      </c>
      <c r="U315" s="44" t="s">
        <v>254</v>
      </c>
      <c r="V315" s="44" t="s">
        <v>75</v>
      </c>
      <c r="W315" s="44" t="s">
        <v>108</v>
      </c>
      <c r="X315" s="44" t="s">
        <v>111</v>
      </c>
      <c r="Y315" s="44" t="s">
        <v>168</v>
      </c>
      <c r="Z315" s="44" t="s">
        <v>227</v>
      </c>
      <c r="AA315" s="44" t="s">
        <v>425</v>
      </c>
      <c r="AB315" s="60"/>
    </row>
    <row r="316" spans="1:28" x14ac:dyDescent="0.2">
      <c r="A316" s="114"/>
      <c r="B316" s="128"/>
      <c r="C316" s="24" t="s">
        <v>57</v>
      </c>
      <c r="D316" s="24">
        <v>35.799999999999997</v>
      </c>
      <c r="E316" s="24">
        <v>1122</v>
      </c>
      <c r="F316" s="24"/>
      <c r="G316" s="24" t="s">
        <v>268</v>
      </c>
      <c r="H316" s="24" t="s">
        <v>755</v>
      </c>
      <c r="I316" s="24" t="s">
        <v>756</v>
      </c>
      <c r="J316" s="24"/>
      <c r="K316" s="24" t="s">
        <v>251</v>
      </c>
      <c r="L316" s="24" t="s">
        <v>251</v>
      </c>
      <c r="M316" s="24" t="s">
        <v>251</v>
      </c>
      <c r="N316" s="24" t="s">
        <v>96</v>
      </c>
      <c r="O316" s="24" t="s">
        <v>96</v>
      </c>
      <c r="P316" s="24" t="s">
        <v>98</v>
      </c>
      <c r="Q316" s="24" t="s">
        <v>82</v>
      </c>
      <c r="R316" s="24" t="s">
        <v>81</v>
      </c>
      <c r="S316" s="24" t="s">
        <v>86</v>
      </c>
      <c r="T316" s="24" t="s">
        <v>86</v>
      </c>
      <c r="U316" s="24" t="s">
        <v>87</v>
      </c>
      <c r="V316" s="24" t="s">
        <v>252</v>
      </c>
      <c r="W316" s="24" t="s">
        <v>75</v>
      </c>
      <c r="X316" s="24" t="s">
        <v>233</v>
      </c>
      <c r="Y316" s="24" t="s">
        <v>165</v>
      </c>
      <c r="Z316" s="24" t="s">
        <v>217</v>
      </c>
      <c r="AA316" s="24" t="s">
        <v>755</v>
      </c>
      <c r="AB316" s="60"/>
    </row>
    <row r="317" spans="1:28" x14ac:dyDescent="0.2">
      <c r="A317" s="114"/>
      <c r="B317" s="128"/>
      <c r="C317" s="24" t="s">
        <v>56</v>
      </c>
      <c r="D317" s="58">
        <f>D315*469.1/883</f>
        <v>14.981449603624011</v>
      </c>
      <c r="E317" s="24">
        <v>469.1</v>
      </c>
      <c r="F317" s="24"/>
      <c r="G317" s="24"/>
      <c r="H317" s="24"/>
      <c r="I317" s="24"/>
      <c r="J317" s="24"/>
      <c r="K317" s="57">
        <f>E34/E317*K34</f>
        <v>54.586295827206598</v>
      </c>
      <c r="L317" s="57">
        <f>E34/E317*L34</f>
        <v>56.468581890213727</v>
      </c>
      <c r="M317" s="57">
        <f>E34/E317*M34</f>
        <v>56.468581890213727</v>
      </c>
      <c r="N317" s="57">
        <f>E34/E317*N34</f>
        <v>58.350867953220849</v>
      </c>
      <c r="O317" s="57">
        <f>E34/E317*O34</f>
        <v>58.350867953220849</v>
      </c>
      <c r="P317" s="57">
        <f>E34/E317*P34</f>
        <v>60.233154016227971</v>
      </c>
      <c r="Q317" s="57">
        <f>E34/E317*Q34</f>
        <v>62.1154400792351</v>
      </c>
      <c r="R317" s="57">
        <f>E34/E317*R34</f>
        <v>63.997726142242222</v>
      </c>
      <c r="S317" s="57">
        <f>E34/E317*S34</f>
        <v>65.880012205249344</v>
      </c>
      <c r="T317" s="57">
        <f>E34/E317*T34</f>
        <v>67.762298268256473</v>
      </c>
      <c r="U317" s="57">
        <f>E34/E317*U34</f>
        <v>71.526870394270716</v>
      </c>
      <c r="V317" s="57">
        <f>E34/E317*V34</f>
        <v>88.467444961334834</v>
      </c>
      <c r="W317" s="57">
        <f>E34/E317*W34</f>
        <v>114.81944984343458</v>
      </c>
      <c r="X317" s="57">
        <f>E34/E317*X34</f>
        <v>235.19164357279897</v>
      </c>
      <c r="Y317" s="57">
        <f>E34/E317*Y34</f>
        <v>297.58942656150072</v>
      </c>
      <c r="Z317" s="57">
        <f>E34/E317*Z34</f>
        <v>358.78725218503513</v>
      </c>
      <c r="AA317" s="57">
        <f>E34/E317*AA34</f>
        <v>608.37838413984218</v>
      </c>
      <c r="AB317" s="60"/>
    </row>
    <row r="318" spans="1:28" x14ac:dyDescent="0.2">
      <c r="A318" s="114"/>
      <c r="B318" s="128"/>
      <c r="C318" s="24" t="s">
        <v>55</v>
      </c>
      <c r="D318" s="58">
        <f>D319*(1-0.197962345)</f>
        <v>27.830706628500003</v>
      </c>
      <c r="E318" s="57">
        <f>E319*(1-0.197962345)</f>
        <v>870.21085567500006</v>
      </c>
      <c r="F318" s="24"/>
      <c r="G318" s="24" t="s">
        <v>268</v>
      </c>
      <c r="H318" s="24" t="s">
        <v>721</v>
      </c>
      <c r="I318" s="24" t="s">
        <v>757</v>
      </c>
      <c r="J318" s="24" t="s">
        <v>758</v>
      </c>
      <c r="K318" s="24" t="s">
        <v>251</v>
      </c>
      <c r="L318" s="24" t="s">
        <v>96</v>
      </c>
      <c r="M318" s="24" t="s">
        <v>97</v>
      </c>
      <c r="N318" s="24" t="s">
        <v>82</v>
      </c>
      <c r="O318" s="24" t="s">
        <v>82</v>
      </c>
      <c r="P318" s="24" t="s">
        <v>241</v>
      </c>
      <c r="Q318" s="24" t="s">
        <v>241</v>
      </c>
      <c r="R318" s="24" t="s">
        <v>81</v>
      </c>
      <c r="S318" s="24" t="s">
        <v>81</v>
      </c>
      <c r="T318" s="24" t="s">
        <v>87</v>
      </c>
      <c r="U318" s="24" t="s">
        <v>243</v>
      </c>
      <c r="V318" s="24" t="s">
        <v>456</v>
      </c>
      <c r="W318" s="24" t="s">
        <v>328</v>
      </c>
      <c r="X318" s="24" t="s">
        <v>651</v>
      </c>
      <c r="Y318" s="24" t="s">
        <v>382</v>
      </c>
      <c r="Z318" s="24" t="s">
        <v>726</v>
      </c>
      <c r="AA318" s="24" t="s">
        <v>726</v>
      </c>
      <c r="AB318" s="60"/>
    </row>
    <row r="319" spans="1:28" x14ac:dyDescent="0.2">
      <c r="A319" s="114"/>
      <c r="B319" s="128"/>
      <c r="C319" s="24" t="s">
        <v>9</v>
      </c>
      <c r="D319" s="24">
        <v>34.700000000000003</v>
      </c>
      <c r="E319" s="24" t="s">
        <v>396</v>
      </c>
      <c r="F319" s="24" t="s">
        <v>553</v>
      </c>
      <c r="G319" s="24" t="s">
        <v>94</v>
      </c>
      <c r="H319" s="24" t="s">
        <v>410</v>
      </c>
      <c r="I319" s="24" t="s">
        <v>573</v>
      </c>
      <c r="J319" s="24"/>
      <c r="K319" s="24" t="s">
        <v>251</v>
      </c>
      <c r="L319" s="24" t="s">
        <v>251</v>
      </c>
      <c r="M319" s="24" t="s">
        <v>96</v>
      </c>
      <c r="N319" s="24" t="s">
        <v>96</v>
      </c>
      <c r="O319" s="24" t="s">
        <v>98</v>
      </c>
      <c r="P319" s="24" t="s">
        <v>241</v>
      </c>
      <c r="Q319" s="24" t="s">
        <v>68</v>
      </c>
      <c r="R319" s="24" t="s">
        <v>86</v>
      </c>
      <c r="S319" s="24" t="s">
        <v>86</v>
      </c>
      <c r="T319" s="24" t="s">
        <v>86</v>
      </c>
      <c r="U319" s="24" t="s">
        <v>88</v>
      </c>
      <c r="V319" s="24" t="s">
        <v>243</v>
      </c>
      <c r="W319" s="24" t="s">
        <v>74</v>
      </c>
      <c r="X319" s="24" t="s">
        <v>378</v>
      </c>
      <c r="Y319" s="24" t="s">
        <v>111</v>
      </c>
      <c r="Z319" s="24" t="s">
        <v>207</v>
      </c>
      <c r="AA319" s="24" t="s">
        <v>380</v>
      </c>
      <c r="AB319" s="60"/>
    </row>
    <row r="320" spans="1:28" x14ac:dyDescent="0.2">
      <c r="A320" s="114"/>
      <c r="B320" s="7"/>
      <c r="AB320" s="60"/>
    </row>
    <row r="321" spans="1:28" x14ac:dyDescent="0.2">
      <c r="A321" s="114"/>
      <c r="C321" s="14"/>
      <c r="D321" s="24" t="s">
        <v>47</v>
      </c>
      <c r="E321" s="24" t="s">
        <v>48</v>
      </c>
      <c r="F321" s="24" t="s">
        <v>49</v>
      </c>
      <c r="G321" s="24" t="s">
        <v>50</v>
      </c>
      <c r="H321" s="24" t="s">
        <v>51</v>
      </c>
      <c r="I321" s="24" t="s">
        <v>52</v>
      </c>
      <c r="J321" s="24" t="s">
        <v>53</v>
      </c>
      <c r="K321" s="35">
        <v>0.01</v>
      </c>
      <c r="L321" s="35">
        <v>0.05</v>
      </c>
      <c r="M321" s="35">
        <v>0.1</v>
      </c>
      <c r="N321" s="35">
        <v>0.2</v>
      </c>
      <c r="O321" s="36">
        <v>0.3</v>
      </c>
      <c r="P321" s="36">
        <v>0.4</v>
      </c>
      <c r="Q321" s="36">
        <v>0.5</v>
      </c>
      <c r="R321" s="36">
        <v>0.6</v>
      </c>
      <c r="S321" s="36">
        <v>0.7</v>
      </c>
      <c r="T321" s="36">
        <v>0.8</v>
      </c>
      <c r="U321" s="36">
        <v>0.9</v>
      </c>
      <c r="V321" s="36">
        <v>0.95</v>
      </c>
      <c r="W321" s="36">
        <v>0.99</v>
      </c>
      <c r="X321" s="35">
        <v>0.995</v>
      </c>
      <c r="Y321" s="35">
        <v>0.999</v>
      </c>
      <c r="Z321" s="35">
        <v>0.99950000000000006</v>
      </c>
      <c r="AA321" s="35">
        <v>0.99990000000000001</v>
      </c>
      <c r="AB321" s="19"/>
    </row>
    <row r="322" spans="1:28" x14ac:dyDescent="0.2">
      <c r="A322" s="114"/>
      <c r="B322" s="128" t="s">
        <v>59</v>
      </c>
      <c r="C322" s="24" t="s">
        <v>54</v>
      </c>
      <c r="D322" s="37">
        <v>37.4</v>
      </c>
      <c r="E322" s="37" t="s">
        <v>598</v>
      </c>
      <c r="F322" s="37" t="s">
        <v>599</v>
      </c>
      <c r="G322" s="37" t="s">
        <v>452</v>
      </c>
      <c r="H322" s="37" t="s">
        <v>600</v>
      </c>
      <c r="I322" s="37" t="s">
        <v>601</v>
      </c>
      <c r="J322" s="37"/>
      <c r="K322" s="37" t="s">
        <v>95</v>
      </c>
      <c r="L322" s="37" t="s">
        <v>95</v>
      </c>
      <c r="M322" s="37" t="s">
        <v>251</v>
      </c>
      <c r="N322" s="37" t="s">
        <v>251</v>
      </c>
      <c r="O322" s="37" t="s">
        <v>96</v>
      </c>
      <c r="P322" s="37" t="s">
        <v>96</v>
      </c>
      <c r="Q322" s="37" t="s">
        <v>97</v>
      </c>
      <c r="R322" s="37" t="s">
        <v>82</v>
      </c>
      <c r="S322" s="37" t="s">
        <v>68</v>
      </c>
      <c r="T322" s="37" t="s">
        <v>86</v>
      </c>
      <c r="U322" s="37" t="s">
        <v>87</v>
      </c>
      <c r="V322" s="37" t="s">
        <v>244</v>
      </c>
      <c r="W322" s="37" t="s">
        <v>74</v>
      </c>
      <c r="X322" s="37" t="s">
        <v>233</v>
      </c>
      <c r="Y322" s="37" t="s">
        <v>110</v>
      </c>
      <c r="Z322" s="37" t="s">
        <v>207</v>
      </c>
      <c r="AA322" s="37" t="s">
        <v>425</v>
      </c>
      <c r="AB322" s="19"/>
    </row>
    <row r="323" spans="1:28" x14ac:dyDescent="0.2">
      <c r="A323" s="114"/>
      <c r="B323" s="128"/>
      <c r="C323" s="24" t="s">
        <v>57</v>
      </c>
      <c r="D323" s="58">
        <f>D326*E323/E326</f>
        <v>44.156129032258065</v>
      </c>
      <c r="E323" s="58">
        <f>E316*E326/E319</f>
        <v>1378.4571428571428</v>
      </c>
      <c r="F323" s="24"/>
      <c r="G323" s="24"/>
      <c r="H323" s="24"/>
      <c r="I323" s="24"/>
      <c r="J323" s="24"/>
      <c r="K323" s="24" t="s">
        <v>96</v>
      </c>
      <c r="L323" s="24" t="s">
        <v>82</v>
      </c>
      <c r="M323" s="24" t="s">
        <v>81</v>
      </c>
      <c r="N323" s="24" t="s">
        <v>86</v>
      </c>
      <c r="O323" s="24" t="s">
        <v>242</v>
      </c>
      <c r="P323" s="24" t="s">
        <v>244</v>
      </c>
      <c r="Q323" s="24" t="s">
        <v>69</v>
      </c>
      <c r="R323" s="24" t="s">
        <v>71</v>
      </c>
      <c r="S323" s="24" t="s">
        <v>72</v>
      </c>
      <c r="T323" s="24" t="s">
        <v>301</v>
      </c>
      <c r="U323" s="24" t="s">
        <v>233</v>
      </c>
      <c r="V323" s="24" t="s">
        <v>223</v>
      </c>
      <c r="W323" s="24" t="s">
        <v>194</v>
      </c>
      <c r="X323" s="24" t="s">
        <v>147</v>
      </c>
      <c r="Y323" s="24" t="s">
        <v>151</v>
      </c>
      <c r="Z323" s="24" t="s">
        <v>126</v>
      </c>
      <c r="AA323" s="24" t="s">
        <v>527</v>
      </c>
      <c r="AB323" s="19"/>
    </row>
    <row r="324" spans="1:28" x14ac:dyDescent="0.2">
      <c r="A324" s="114"/>
      <c r="B324" s="128"/>
      <c r="C324" s="24" t="s">
        <v>56</v>
      </c>
      <c r="D324" s="58">
        <f>D322*E324/E322</f>
        <v>30.166059366980321</v>
      </c>
      <c r="E324" s="58">
        <f>E317*2.01</f>
        <v>942.89099999999996</v>
      </c>
      <c r="F324" s="24"/>
      <c r="G324" s="24"/>
      <c r="H324" s="24"/>
      <c r="I324" s="24"/>
      <c r="J324" s="24"/>
      <c r="K324" s="24"/>
      <c r="L324" s="24"/>
      <c r="M324" s="24"/>
      <c r="N324" s="24"/>
      <c r="O324" s="24"/>
      <c r="P324" s="24"/>
      <c r="Q324" s="24"/>
      <c r="R324" s="24"/>
      <c r="S324" s="24"/>
      <c r="T324" s="24"/>
      <c r="U324" s="24"/>
      <c r="V324" s="24"/>
      <c r="W324" s="24"/>
      <c r="X324" s="24"/>
      <c r="Y324" s="24"/>
      <c r="Z324" s="24"/>
      <c r="AA324" s="24"/>
      <c r="AB324" s="19"/>
    </row>
    <row r="325" spans="1:28" x14ac:dyDescent="0.2">
      <c r="A325" s="114"/>
      <c r="B325" s="128"/>
      <c r="C325" s="24" t="s">
        <v>55</v>
      </c>
      <c r="D325" s="58">
        <f>D326*E325/E326</f>
        <v>34.247007868500006</v>
      </c>
      <c r="E325" s="57">
        <f>E318*E326/E319</f>
        <v>1069.1161941150001</v>
      </c>
      <c r="F325" s="24"/>
      <c r="G325" s="24"/>
      <c r="H325" s="24"/>
      <c r="I325" s="24"/>
      <c r="J325" s="24"/>
      <c r="K325" s="24"/>
      <c r="L325" s="24"/>
      <c r="M325" s="24"/>
      <c r="N325" s="24"/>
      <c r="O325" s="24"/>
      <c r="P325" s="24"/>
      <c r="Q325" s="24"/>
      <c r="R325" s="24"/>
      <c r="S325" s="24"/>
      <c r="T325" s="24"/>
      <c r="U325" s="24"/>
      <c r="V325" s="24"/>
      <c r="W325" s="24"/>
      <c r="X325" s="24"/>
      <c r="Y325" s="24"/>
      <c r="Z325" s="24"/>
      <c r="AA325" s="24"/>
      <c r="AB325" s="19"/>
    </row>
    <row r="326" spans="1:28" x14ac:dyDescent="0.2">
      <c r="A326" s="114"/>
      <c r="B326" s="128"/>
      <c r="C326" s="24" t="s">
        <v>9</v>
      </c>
      <c r="D326" s="37">
        <v>42.7</v>
      </c>
      <c r="E326" s="37" t="s">
        <v>574</v>
      </c>
      <c r="F326" s="37" t="s">
        <v>575</v>
      </c>
      <c r="G326" s="37" t="s">
        <v>268</v>
      </c>
      <c r="H326" s="37" t="s">
        <v>576</v>
      </c>
      <c r="I326" s="37" t="s">
        <v>577</v>
      </c>
      <c r="J326" s="37" t="s">
        <v>578</v>
      </c>
      <c r="K326" s="37" t="s">
        <v>251</v>
      </c>
      <c r="L326" s="37" t="s">
        <v>82</v>
      </c>
      <c r="M326" s="37" t="s">
        <v>81</v>
      </c>
      <c r="N326" s="37" t="s">
        <v>68</v>
      </c>
      <c r="O326" s="37" t="s">
        <v>242</v>
      </c>
      <c r="P326" s="37" t="s">
        <v>243</v>
      </c>
      <c r="Q326" s="37" t="s">
        <v>244</v>
      </c>
      <c r="R326" s="37" t="s">
        <v>71</v>
      </c>
      <c r="S326" s="37" t="s">
        <v>72</v>
      </c>
      <c r="T326" s="37" t="s">
        <v>73</v>
      </c>
      <c r="U326" s="37" t="s">
        <v>75</v>
      </c>
      <c r="V326" s="37" t="s">
        <v>106</v>
      </c>
      <c r="W326" s="37" t="s">
        <v>194</v>
      </c>
      <c r="X326" s="37" t="s">
        <v>148</v>
      </c>
      <c r="Y326" s="37" t="s">
        <v>125</v>
      </c>
      <c r="Z326" s="37" t="s">
        <v>127</v>
      </c>
      <c r="AA326" s="37" t="s">
        <v>183</v>
      </c>
      <c r="AB326" s="19"/>
    </row>
    <row r="327" spans="1:28" x14ac:dyDescent="0.2">
      <c r="A327" s="114"/>
      <c r="B327" s="14"/>
      <c r="AB327" s="19"/>
    </row>
    <row r="328" spans="1:28" x14ac:dyDescent="0.2">
      <c r="A328" s="114"/>
      <c r="C328" s="14"/>
      <c r="D328" s="24" t="s">
        <v>47</v>
      </c>
      <c r="E328" s="24" t="s">
        <v>48</v>
      </c>
      <c r="F328" s="24" t="s">
        <v>49</v>
      </c>
      <c r="G328" s="24" t="s">
        <v>50</v>
      </c>
      <c r="H328" s="24" t="s">
        <v>51</v>
      </c>
      <c r="I328" s="24" t="s">
        <v>52</v>
      </c>
      <c r="J328" s="24" t="s">
        <v>53</v>
      </c>
      <c r="K328" s="35">
        <v>0.01</v>
      </c>
      <c r="L328" s="35">
        <v>0.05</v>
      </c>
      <c r="M328" s="35">
        <v>0.1</v>
      </c>
      <c r="N328" s="35">
        <v>0.2</v>
      </c>
      <c r="O328" s="36">
        <v>0.3</v>
      </c>
      <c r="P328" s="36">
        <v>0.4</v>
      </c>
      <c r="Q328" s="36">
        <v>0.5</v>
      </c>
      <c r="R328" s="36">
        <v>0.6</v>
      </c>
      <c r="S328" s="36">
        <v>0.7</v>
      </c>
      <c r="T328" s="36">
        <v>0.8</v>
      </c>
      <c r="U328" s="36">
        <v>0.9</v>
      </c>
      <c r="V328" s="36">
        <v>0.95</v>
      </c>
      <c r="W328" s="36">
        <v>0.99</v>
      </c>
      <c r="X328" s="35">
        <v>0.995</v>
      </c>
      <c r="Y328" s="35">
        <v>0.999</v>
      </c>
      <c r="Z328" s="35">
        <v>0.99950000000000006</v>
      </c>
      <c r="AA328" s="35">
        <v>0.99990000000000001</v>
      </c>
      <c r="AB328" s="19"/>
    </row>
    <row r="329" spans="1:28" x14ac:dyDescent="0.2">
      <c r="A329" s="114"/>
      <c r="B329" s="128" t="s">
        <v>59</v>
      </c>
      <c r="C329" s="24" t="s">
        <v>54</v>
      </c>
      <c r="D329" s="24">
        <v>39.9</v>
      </c>
      <c r="E329" s="24" t="s">
        <v>602</v>
      </c>
      <c r="F329" s="24" t="s">
        <v>603</v>
      </c>
      <c r="G329" s="24" t="s">
        <v>265</v>
      </c>
      <c r="H329" s="24" t="s">
        <v>604</v>
      </c>
      <c r="I329" s="24" t="s">
        <v>605</v>
      </c>
      <c r="J329" s="24" t="s">
        <v>606</v>
      </c>
      <c r="K329" s="24" t="s">
        <v>251</v>
      </c>
      <c r="L329" s="24" t="s">
        <v>98</v>
      </c>
      <c r="M329" s="24" t="s">
        <v>241</v>
      </c>
      <c r="N329" s="24" t="s">
        <v>68</v>
      </c>
      <c r="O329" s="24" t="s">
        <v>87</v>
      </c>
      <c r="P329" s="24" t="s">
        <v>89</v>
      </c>
      <c r="Q329" s="24" t="s">
        <v>244</v>
      </c>
      <c r="R329" s="24" t="s">
        <v>456</v>
      </c>
      <c r="S329" s="24" t="s">
        <v>72</v>
      </c>
      <c r="T329" s="24" t="s">
        <v>73</v>
      </c>
      <c r="U329" s="24" t="s">
        <v>177</v>
      </c>
      <c r="V329" s="24" t="s">
        <v>76</v>
      </c>
      <c r="W329" s="24" t="s">
        <v>194</v>
      </c>
      <c r="X329" s="24" t="s">
        <v>147</v>
      </c>
      <c r="Y329" s="24" t="s">
        <v>124</v>
      </c>
      <c r="Z329" s="24" t="s">
        <v>237</v>
      </c>
      <c r="AA329" s="24" t="s">
        <v>498</v>
      </c>
      <c r="AB329" s="19"/>
    </row>
    <row r="330" spans="1:28" x14ac:dyDescent="0.2">
      <c r="A330" s="114"/>
      <c r="B330" s="128"/>
      <c r="C330" s="24" t="s">
        <v>57</v>
      </c>
      <c r="D330" s="58">
        <f>D333*E330/E333</f>
        <v>56.461935483870974</v>
      </c>
      <c r="E330" s="57">
        <f>E316*E333/E319</f>
        <v>1765.2110599078342</v>
      </c>
      <c r="F330" s="24"/>
      <c r="G330" s="24"/>
      <c r="H330" s="24"/>
      <c r="I330" s="24"/>
      <c r="J330" s="24"/>
      <c r="K330" s="24"/>
      <c r="L330" s="24"/>
      <c r="M330" s="24"/>
      <c r="N330" s="24"/>
      <c r="O330" s="24"/>
      <c r="P330" s="24"/>
      <c r="Q330" s="24"/>
      <c r="R330" s="24"/>
      <c r="S330" s="24"/>
      <c r="T330" s="24"/>
      <c r="U330" s="24"/>
      <c r="V330" s="24"/>
      <c r="W330" s="24"/>
      <c r="X330" s="24"/>
      <c r="Y330" s="24"/>
      <c r="Z330" s="24"/>
      <c r="AA330" s="24"/>
      <c r="AB330" s="19"/>
    </row>
    <row r="331" spans="1:28" x14ac:dyDescent="0.2">
      <c r="A331" s="114"/>
      <c r="B331" s="128"/>
      <c r="C331" s="24" t="s">
        <v>56</v>
      </c>
      <c r="D331" s="58">
        <f>D329*E331/E329</f>
        <v>38.208680275862065</v>
      </c>
      <c r="E331" s="58">
        <f>E317*2.5456</f>
        <v>1194.14096</v>
      </c>
      <c r="F331" s="24"/>
      <c r="G331" s="24"/>
      <c r="H331" s="24"/>
      <c r="I331" s="24"/>
      <c r="J331" s="24"/>
      <c r="K331" s="24"/>
      <c r="L331" s="24"/>
      <c r="M331" s="24"/>
      <c r="N331" s="24"/>
      <c r="O331" s="24"/>
      <c r="P331" s="24"/>
      <c r="Q331" s="24"/>
      <c r="R331" s="24"/>
      <c r="S331" s="24"/>
      <c r="T331" s="24"/>
      <c r="U331" s="24"/>
      <c r="V331" s="24"/>
      <c r="W331" s="24"/>
      <c r="X331" s="24"/>
      <c r="Y331" s="24"/>
      <c r="Z331" s="24"/>
      <c r="AA331" s="24"/>
      <c r="AB331" s="19"/>
    </row>
    <row r="332" spans="1:28" x14ac:dyDescent="0.2">
      <c r="A332" s="114"/>
      <c r="B332" s="128"/>
      <c r="C332" s="24" t="s">
        <v>55</v>
      </c>
      <c r="D332" s="58">
        <f>D333*E332/E333</f>
        <v>43.791255963000005</v>
      </c>
      <c r="E332" s="58">
        <f>E318*E333/E319</f>
        <v>1369.0782770850001</v>
      </c>
      <c r="F332" s="24"/>
      <c r="G332" s="24"/>
      <c r="H332" s="24"/>
      <c r="I332" s="24"/>
      <c r="J332" s="24"/>
      <c r="K332" s="24"/>
      <c r="L332" s="24"/>
      <c r="M332" s="24"/>
      <c r="N332" s="24"/>
      <c r="O332" s="24"/>
      <c r="P332" s="24"/>
      <c r="Q332" s="24"/>
      <c r="R332" s="24"/>
      <c r="S332" s="24"/>
      <c r="T332" s="24"/>
      <c r="U332" s="24"/>
      <c r="V332" s="24"/>
      <c r="W332" s="24"/>
      <c r="X332" s="24"/>
      <c r="Y332" s="24"/>
      <c r="Z332" s="24"/>
      <c r="AA332" s="24"/>
      <c r="AB332" s="19"/>
    </row>
    <row r="333" spans="1:28" x14ac:dyDescent="0.2">
      <c r="A333" s="114"/>
      <c r="B333" s="128"/>
      <c r="C333" s="24" t="s">
        <v>9</v>
      </c>
      <c r="D333" s="24">
        <v>54.6</v>
      </c>
      <c r="E333" s="24" t="s">
        <v>579</v>
      </c>
      <c r="F333" s="24" t="s">
        <v>580</v>
      </c>
      <c r="G333" s="24" t="s">
        <v>250</v>
      </c>
      <c r="H333" s="24" t="s">
        <v>581</v>
      </c>
      <c r="I333" s="24" t="s">
        <v>582</v>
      </c>
      <c r="J333" s="24" t="s">
        <v>583</v>
      </c>
      <c r="K333" s="24" t="s">
        <v>97</v>
      </c>
      <c r="L333" s="24" t="s">
        <v>241</v>
      </c>
      <c r="M333" s="24" t="s">
        <v>68</v>
      </c>
      <c r="N333" s="24" t="s">
        <v>242</v>
      </c>
      <c r="O333" s="24" t="s">
        <v>71</v>
      </c>
      <c r="P333" s="24" t="s">
        <v>74</v>
      </c>
      <c r="Q333" s="24" t="s">
        <v>307</v>
      </c>
      <c r="R333" s="24" t="s">
        <v>233</v>
      </c>
      <c r="S333" s="24" t="s">
        <v>181</v>
      </c>
      <c r="T333" s="24" t="s">
        <v>111</v>
      </c>
      <c r="U333" s="24" t="s">
        <v>148</v>
      </c>
      <c r="V333" s="24" t="s">
        <v>258</v>
      </c>
      <c r="W333" s="24" t="s">
        <v>133</v>
      </c>
      <c r="X333" s="24" t="s">
        <v>134</v>
      </c>
      <c r="Y333" s="24" t="s">
        <v>228</v>
      </c>
      <c r="Z333" s="24" t="s">
        <v>184</v>
      </c>
      <c r="AA333" s="24" t="s">
        <v>372</v>
      </c>
      <c r="AB333" s="19"/>
    </row>
    <row r="334" spans="1:28" x14ac:dyDescent="0.2">
      <c r="A334" s="114"/>
      <c r="B334" s="14"/>
      <c r="AB334" s="19"/>
    </row>
    <row r="335" spans="1:28" x14ac:dyDescent="0.2">
      <c r="A335" s="114"/>
      <c r="C335" s="14"/>
      <c r="D335" s="24" t="s">
        <v>47</v>
      </c>
      <c r="E335" s="24" t="s">
        <v>48</v>
      </c>
      <c r="F335" s="24" t="s">
        <v>49</v>
      </c>
      <c r="G335" s="24" t="s">
        <v>50</v>
      </c>
      <c r="H335" s="24" t="s">
        <v>51</v>
      </c>
      <c r="I335" s="24" t="s">
        <v>52</v>
      </c>
      <c r="J335" s="24" t="s">
        <v>53</v>
      </c>
      <c r="K335" s="35">
        <v>0.01</v>
      </c>
      <c r="L335" s="35">
        <v>0.05</v>
      </c>
      <c r="M335" s="35">
        <v>0.1</v>
      </c>
      <c r="N335" s="35">
        <v>0.2</v>
      </c>
      <c r="O335" s="36">
        <v>0.3</v>
      </c>
      <c r="P335" s="36">
        <v>0.4</v>
      </c>
      <c r="Q335" s="36">
        <v>0.5</v>
      </c>
      <c r="R335" s="36">
        <v>0.6</v>
      </c>
      <c r="S335" s="36">
        <v>0.7</v>
      </c>
      <c r="T335" s="36">
        <v>0.8</v>
      </c>
      <c r="U335" s="36">
        <v>0.9</v>
      </c>
      <c r="V335" s="36">
        <v>0.95</v>
      </c>
      <c r="W335" s="36">
        <v>0.99</v>
      </c>
      <c r="X335" s="35">
        <v>0.995</v>
      </c>
      <c r="Y335" s="35">
        <v>0.999</v>
      </c>
      <c r="Z335" s="35">
        <v>0.99950000000000006</v>
      </c>
      <c r="AA335" s="35">
        <v>0.99990000000000001</v>
      </c>
      <c r="AB335" s="19"/>
    </row>
    <row r="336" spans="1:28" x14ac:dyDescent="0.2">
      <c r="A336" s="114"/>
      <c r="B336" s="128" t="s">
        <v>59</v>
      </c>
      <c r="C336" s="24" t="s">
        <v>54</v>
      </c>
      <c r="D336" s="24">
        <v>45.3</v>
      </c>
      <c r="E336" s="24" t="s">
        <v>607</v>
      </c>
      <c r="F336" s="24" t="s">
        <v>608</v>
      </c>
      <c r="G336" s="24" t="s">
        <v>93</v>
      </c>
      <c r="H336" s="24" t="s">
        <v>609</v>
      </c>
      <c r="I336" s="24" t="s">
        <v>610</v>
      </c>
      <c r="J336" s="24"/>
      <c r="K336" s="24" t="s">
        <v>251</v>
      </c>
      <c r="L336" s="24" t="s">
        <v>98</v>
      </c>
      <c r="M336" s="24" t="s">
        <v>241</v>
      </c>
      <c r="N336" s="24" t="s">
        <v>81</v>
      </c>
      <c r="O336" s="24" t="s">
        <v>68</v>
      </c>
      <c r="P336" s="24" t="s">
        <v>87</v>
      </c>
      <c r="Q336" s="24" t="s">
        <v>89</v>
      </c>
      <c r="R336" s="24" t="s">
        <v>242</v>
      </c>
      <c r="S336" s="24" t="s">
        <v>243</v>
      </c>
      <c r="T336" s="24" t="s">
        <v>244</v>
      </c>
      <c r="U336" s="24" t="s">
        <v>456</v>
      </c>
      <c r="V336" s="24" t="s">
        <v>73</v>
      </c>
      <c r="W336" s="24" t="s">
        <v>193</v>
      </c>
      <c r="X336" s="24" t="s">
        <v>110</v>
      </c>
      <c r="Y336" s="24" t="s">
        <v>148</v>
      </c>
      <c r="Z336" s="24" t="s">
        <v>217</v>
      </c>
      <c r="AA336" s="24" t="s">
        <v>409</v>
      </c>
      <c r="AB336" s="19"/>
    </row>
    <row r="337" spans="1:28" x14ac:dyDescent="0.2">
      <c r="A337" s="114"/>
      <c r="B337" s="128"/>
      <c r="C337" s="24" t="s">
        <v>57</v>
      </c>
      <c r="D337" s="58">
        <f>D340*E337/E340</f>
        <v>64.527926267281103</v>
      </c>
      <c r="E337" s="58">
        <f>E316*E340/E319</f>
        <v>2017.5317972350231</v>
      </c>
      <c r="F337" s="24"/>
      <c r="G337" s="24"/>
      <c r="H337" s="24"/>
      <c r="I337" s="24"/>
      <c r="J337" s="24"/>
      <c r="K337" s="24"/>
      <c r="L337" s="24"/>
      <c r="M337" s="24"/>
      <c r="N337" s="24"/>
      <c r="O337" s="24"/>
      <c r="P337" s="24"/>
      <c r="Q337" s="24"/>
      <c r="R337" s="24"/>
      <c r="S337" s="24"/>
      <c r="T337" s="24"/>
      <c r="U337" s="24"/>
      <c r="V337" s="24"/>
      <c r="W337" s="24"/>
      <c r="X337" s="24"/>
      <c r="Y337" s="24"/>
      <c r="Z337" s="24"/>
      <c r="AA337" s="24"/>
      <c r="AB337" s="19"/>
    </row>
    <row r="338" spans="1:28" x14ac:dyDescent="0.2">
      <c r="A338" s="114"/>
      <c r="B338" s="128"/>
      <c r="C338" s="24" t="s">
        <v>56</v>
      </c>
      <c r="D338" s="58">
        <f>D336*E338/E336</f>
        <v>43.332310458262711</v>
      </c>
      <c r="E338" s="58">
        <f>E317*2.88743</f>
        <v>1354.4934130000001</v>
      </c>
      <c r="F338" s="24"/>
      <c r="G338" s="24"/>
      <c r="H338" s="24"/>
      <c r="I338" s="24"/>
      <c r="J338" s="24"/>
      <c r="K338" s="24"/>
      <c r="L338" s="24"/>
      <c r="M338" s="24"/>
      <c r="N338" s="24"/>
      <c r="O338" s="24"/>
      <c r="P338" s="24"/>
      <c r="Q338" s="24"/>
      <c r="R338" s="24"/>
      <c r="S338" s="24"/>
      <c r="T338" s="24"/>
      <c r="U338" s="24"/>
      <c r="V338" s="24"/>
      <c r="W338" s="24"/>
      <c r="X338" s="24"/>
      <c r="Y338" s="24"/>
      <c r="Z338" s="24"/>
      <c r="AA338" s="24"/>
      <c r="AB338" s="19"/>
    </row>
    <row r="339" spans="1:28" x14ac:dyDescent="0.2">
      <c r="A339" s="114"/>
      <c r="B339" s="128"/>
      <c r="C339" s="24" t="s">
        <v>55</v>
      </c>
      <c r="D339" s="58">
        <f>D340*E339/E340</f>
        <v>50.047149672000003</v>
      </c>
      <c r="E339" s="57">
        <f>E318*E340/E319</f>
        <v>1564.7754649050003</v>
      </c>
      <c r="F339" s="24"/>
      <c r="G339" s="24"/>
      <c r="H339" s="24"/>
      <c r="I339" s="24"/>
      <c r="J339" s="24"/>
      <c r="K339" s="24"/>
      <c r="L339" s="24"/>
      <c r="M339" s="24"/>
      <c r="N339" s="24"/>
      <c r="O339" s="24"/>
      <c r="P339" s="24"/>
      <c r="Q339" s="24"/>
      <c r="R339" s="24"/>
      <c r="S339" s="24"/>
      <c r="T339" s="24"/>
      <c r="U339" s="24"/>
      <c r="V339" s="24"/>
      <c r="W339" s="24"/>
      <c r="X339" s="24"/>
      <c r="Y339" s="24"/>
      <c r="Z339" s="24"/>
      <c r="AA339" s="24"/>
      <c r="AB339" s="19"/>
    </row>
    <row r="340" spans="1:28" x14ac:dyDescent="0.2">
      <c r="A340" s="114"/>
      <c r="B340" s="128"/>
      <c r="C340" s="24" t="s">
        <v>9</v>
      </c>
      <c r="D340" s="24">
        <v>62.4</v>
      </c>
      <c r="E340" s="37" t="s">
        <v>584</v>
      </c>
      <c r="F340" s="37" t="s">
        <v>585</v>
      </c>
      <c r="G340" s="37" t="s">
        <v>257</v>
      </c>
      <c r="H340" s="37" t="s">
        <v>586</v>
      </c>
      <c r="I340" s="37" t="s">
        <v>587</v>
      </c>
      <c r="J340" s="37" t="s">
        <v>588</v>
      </c>
      <c r="K340" s="37" t="s">
        <v>98</v>
      </c>
      <c r="L340" s="37" t="s">
        <v>86</v>
      </c>
      <c r="M340" s="37" t="s">
        <v>242</v>
      </c>
      <c r="N340" s="37" t="s">
        <v>254</v>
      </c>
      <c r="O340" s="37" t="s">
        <v>71</v>
      </c>
      <c r="P340" s="37" t="s">
        <v>72</v>
      </c>
      <c r="Q340" s="37" t="s">
        <v>74</v>
      </c>
      <c r="R340" s="37" t="s">
        <v>307</v>
      </c>
      <c r="S340" s="37" t="s">
        <v>233</v>
      </c>
      <c r="T340" s="37" t="s">
        <v>181</v>
      </c>
      <c r="U340" s="37" t="s">
        <v>146</v>
      </c>
      <c r="V340" s="37" t="s">
        <v>245</v>
      </c>
      <c r="W340" s="37" t="s">
        <v>368</v>
      </c>
      <c r="X340" s="37" t="s">
        <v>195</v>
      </c>
      <c r="Y340" s="37" t="s">
        <v>476</v>
      </c>
      <c r="Z340" s="37" t="s">
        <v>527</v>
      </c>
      <c r="AA340" s="37" t="s">
        <v>589</v>
      </c>
      <c r="AB340" s="19"/>
    </row>
    <row r="341" spans="1:28" x14ac:dyDescent="0.2">
      <c r="A341" s="114"/>
      <c r="B341" s="14"/>
      <c r="AB341" s="19"/>
    </row>
    <row r="342" spans="1:28" x14ac:dyDescent="0.2">
      <c r="A342" s="114"/>
      <c r="C342" s="19"/>
      <c r="D342" s="23" t="s">
        <v>47</v>
      </c>
      <c r="E342" s="23" t="s">
        <v>48</v>
      </c>
      <c r="F342" s="23" t="s">
        <v>49</v>
      </c>
      <c r="G342" s="23" t="s">
        <v>50</v>
      </c>
      <c r="H342" s="23" t="s">
        <v>51</v>
      </c>
      <c r="I342" s="23" t="s">
        <v>52</v>
      </c>
      <c r="J342" s="23" t="s">
        <v>53</v>
      </c>
      <c r="K342" s="29">
        <v>0.01</v>
      </c>
      <c r="L342" s="29">
        <v>0.05</v>
      </c>
      <c r="M342" s="29">
        <v>0.1</v>
      </c>
      <c r="N342" s="29">
        <v>0.2</v>
      </c>
      <c r="O342" s="30">
        <v>0.3</v>
      </c>
      <c r="P342" s="30">
        <v>0.4</v>
      </c>
      <c r="Q342" s="30">
        <v>0.5</v>
      </c>
      <c r="R342" s="30">
        <v>0.6</v>
      </c>
      <c r="S342" s="30">
        <v>0.7</v>
      </c>
      <c r="T342" s="30">
        <v>0.8</v>
      </c>
      <c r="U342" s="30">
        <v>0.9</v>
      </c>
      <c r="V342" s="30">
        <v>0.95</v>
      </c>
      <c r="W342" s="30">
        <v>0.99</v>
      </c>
      <c r="X342" s="29">
        <v>0.995</v>
      </c>
      <c r="Y342" s="29">
        <v>0.999</v>
      </c>
      <c r="Z342" s="29">
        <v>0.99950000000000006</v>
      </c>
      <c r="AA342" s="29">
        <v>0.99990000000000001</v>
      </c>
      <c r="AB342" s="19"/>
    </row>
    <row r="343" spans="1:28" x14ac:dyDescent="0.2">
      <c r="A343" s="114"/>
      <c r="B343" s="137" t="s">
        <v>60</v>
      </c>
      <c r="C343" s="23" t="s">
        <v>54</v>
      </c>
      <c r="D343" s="23">
        <v>33.6</v>
      </c>
      <c r="E343" s="23" t="s">
        <v>611</v>
      </c>
      <c r="F343" s="23" t="s">
        <v>612</v>
      </c>
      <c r="G343" s="23" t="s">
        <v>94</v>
      </c>
      <c r="H343" s="23" t="s">
        <v>484</v>
      </c>
      <c r="I343" s="23" t="s">
        <v>613</v>
      </c>
      <c r="J343" s="23"/>
      <c r="K343" s="23" t="s">
        <v>251</v>
      </c>
      <c r="L343" s="23" t="s">
        <v>97</v>
      </c>
      <c r="M343" s="23" t="s">
        <v>97</v>
      </c>
      <c r="N343" s="23" t="s">
        <v>97</v>
      </c>
      <c r="O343" s="23" t="s">
        <v>98</v>
      </c>
      <c r="P343" s="23" t="s">
        <v>82</v>
      </c>
      <c r="Q343" s="23" t="s">
        <v>241</v>
      </c>
      <c r="R343" s="23" t="s">
        <v>68</v>
      </c>
      <c r="S343" s="23" t="s">
        <v>88</v>
      </c>
      <c r="T343" s="23" t="s">
        <v>89</v>
      </c>
      <c r="U343" s="23" t="s">
        <v>242</v>
      </c>
      <c r="V343" s="23" t="s">
        <v>243</v>
      </c>
      <c r="W343" s="23" t="s">
        <v>75</v>
      </c>
      <c r="X343" s="23" t="s">
        <v>233</v>
      </c>
      <c r="Y343" s="23" t="s">
        <v>112</v>
      </c>
      <c r="Z343" s="23" t="s">
        <v>207</v>
      </c>
      <c r="AA343" s="23" t="s">
        <v>484</v>
      </c>
      <c r="AB343" s="19"/>
    </row>
    <row r="344" spans="1:28" x14ac:dyDescent="0.2">
      <c r="A344" s="114"/>
      <c r="B344" s="137"/>
      <c r="C344" s="23" t="s">
        <v>57</v>
      </c>
      <c r="D344" s="56">
        <f>D343*1.261147</f>
        <v>42.374539200000001</v>
      </c>
      <c r="E344" s="33">
        <f>E343*1.261147</f>
        <v>1322.943203</v>
      </c>
      <c r="F344" s="23"/>
      <c r="G344" s="23"/>
      <c r="H344" s="23"/>
      <c r="I344" s="23"/>
      <c r="J344" s="23"/>
      <c r="K344" s="23" t="s">
        <v>251</v>
      </c>
      <c r="L344" s="23" t="s">
        <v>98</v>
      </c>
      <c r="M344" s="23" t="s">
        <v>241</v>
      </c>
      <c r="N344" s="23" t="s">
        <v>68</v>
      </c>
      <c r="O344" s="23" t="s">
        <v>86</v>
      </c>
      <c r="P344" s="23" t="s">
        <v>87</v>
      </c>
      <c r="Q344" s="23" t="s">
        <v>89</v>
      </c>
      <c r="R344" s="23" t="s">
        <v>242</v>
      </c>
      <c r="S344" s="23" t="s">
        <v>243</v>
      </c>
      <c r="T344" s="23" t="s">
        <v>244</v>
      </c>
      <c r="U344" s="23" t="s">
        <v>70</v>
      </c>
      <c r="V344" s="23" t="s">
        <v>74</v>
      </c>
      <c r="W344" s="23" t="s">
        <v>193</v>
      </c>
      <c r="X344" s="23" t="s">
        <v>111</v>
      </c>
      <c r="Y344" s="23" t="s">
        <v>165</v>
      </c>
      <c r="Z344" s="23" t="s">
        <v>168</v>
      </c>
      <c r="AA344" s="23" t="s">
        <v>129</v>
      </c>
      <c r="AB344" s="19"/>
    </row>
    <row r="345" spans="1:28" x14ac:dyDescent="0.2">
      <c r="A345" s="114"/>
      <c r="B345" s="137"/>
      <c r="C345" s="23" t="s">
        <v>56</v>
      </c>
      <c r="D345" s="56">
        <f>D343*E345/E343</f>
        <v>17.850600571973306</v>
      </c>
      <c r="E345" s="23">
        <v>557.29999999999995</v>
      </c>
      <c r="F345" s="23"/>
      <c r="G345" s="23"/>
      <c r="H345" s="23"/>
      <c r="I345" s="23"/>
      <c r="J345" s="23"/>
      <c r="K345" s="59">
        <f>K61*E61/E345</f>
        <v>67.81984568455033</v>
      </c>
      <c r="L345" s="59">
        <f>L61*E61/E345</f>
        <v>73.985286201327639</v>
      </c>
      <c r="M345" s="59">
        <f>M61*E61/E345</f>
        <v>73.985286201327639</v>
      </c>
      <c r="N345" s="59">
        <f>N61*E61/E345</f>
        <v>73.985286201327639</v>
      </c>
      <c r="O345" s="59">
        <f>O61*E61/E345</f>
        <v>77.068006459716273</v>
      </c>
      <c r="P345" s="59">
        <f>P61*E61/E345</f>
        <v>80.150726718104934</v>
      </c>
      <c r="Q345" s="59">
        <f>Q61*E61/E345</f>
        <v>83.233446976493596</v>
      </c>
      <c r="R345" s="59">
        <f>R61*E61/E345</f>
        <v>89.398887493270891</v>
      </c>
      <c r="S345" s="59">
        <f>S61*E61/E345</f>
        <v>98.647048268436848</v>
      </c>
      <c r="T345" s="59">
        <f>T61*E61/E345</f>
        <v>121.2434954243675</v>
      </c>
      <c r="U345" s="59">
        <f>U61*E61/E345</f>
        <v>154.85555356181592</v>
      </c>
      <c r="V345" s="59">
        <f>V61*E61/E345</f>
        <v>218.47837789341469</v>
      </c>
      <c r="W345" s="59">
        <f>W61*E61/E345</f>
        <v>238.88569890543695</v>
      </c>
      <c r="X345" s="59">
        <f>X61*E61/E345</f>
        <v>246.08828279203303</v>
      </c>
      <c r="Y345" s="59">
        <f>Y61*E61/E345</f>
        <v>308.51067647586581</v>
      </c>
      <c r="Z345" s="59">
        <f>Z61*E61/E345</f>
        <v>787.48250493450576</v>
      </c>
      <c r="AA345" s="59">
        <f>AA61*E61/E345</f>
        <v>1082.0348106944166</v>
      </c>
      <c r="AB345" s="19"/>
    </row>
    <row r="346" spans="1:28" x14ac:dyDescent="0.2">
      <c r="A346" s="114"/>
      <c r="B346" s="137"/>
      <c r="C346" s="23" t="s">
        <v>55</v>
      </c>
      <c r="D346" s="56">
        <f>D347*E346/E347</f>
        <v>28.420606628500003</v>
      </c>
      <c r="E346" s="56">
        <f>E347*(1-0.180962345)</f>
        <v>888.655855675</v>
      </c>
      <c r="F346" s="23"/>
      <c r="G346" s="23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23"/>
      <c r="AA346" s="23"/>
      <c r="AB346" s="19"/>
    </row>
    <row r="347" spans="1:28" x14ac:dyDescent="0.2">
      <c r="A347" s="114"/>
      <c r="B347" s="137"/>
      <c r="C347" s="23" t="s">
        <v>9</v>
      </c>
      <c r="D347" s="23">
        <v>34.700000000000003</v>
      </c>
      <c r="E347" s="23" t="s">
        <v>396</v>
      </c>
      <c r="F347" s="23" t="s">
        <v>553</v>
      </c>
      <c r="G347" s="23" t="s">
        <v>268</v>
      </c>
      <c r="H347" s="23" t="s">
        <v>554</v>
      </c>
      <c r="I347" s="23" t="s">
        <v>555</v>
      </c>
      <c r="J347" s="23"/>
      <c r="K347" s="23" t="s">
        <v>251</v>
      </c>
      <c r="L347" s="23" t="s">
        <v>96</v>
      </c>
      <c r="M347" s="23" t="s">
        <v>96</v>
      </c>
      <c r="N347" s="23" t="s">
        <v>98</v>
      </c>
      <c r="O347" s="23" t="s">
        <v>98</v>
      </c>
      <c r="P347" s="23" t="s">
        <v>82</v>
      </c>
      <c r="Q347" s="23" t="s">
        <v>241</v>
      </c>
      <c r="R347" s="23" t="s">
        <v>86</v>
      </c>
      <c r="S347" s="23" t="s">
        <v>87</v>
      </c>
      <c r="T347" s="23" t="s">
        <v>87</v>
      </c>
      <c r="U347" s="23" t="s">
        <v>88</v>
      </c>
      <c r="V347" s="23" t="s">
        <v>89</v>
      </c>
      <c r="W347" s="23" t="s">
        <v>255</v>
      </c>
      <c r="X347" s="23" t="s">
        <v>378</v>
      </c>
      <c r="Y347" s="23" t="s">
        <v>107</v>
      </c>
      <c r="Z347" s="23" t="s">
        <v>145</v>
      </c>
      <c r="AA347" s="23" t="s">
        <v>141</v>
      </c>
      <c r="AB347" s="19"/>
    </row>
    <row r="348" spans="1:28" x14ac:dyDescent="0.2">
      <c r="A348" s="114"/>
      <c r="C348" s="19"/>
      <c r="D348" s="23" t="s">
        <v>47</v>
      </c>
      <c r="E348" s="23" t="s">
        <v>48</v>
      </c>
      <c r="F348" s="23" t="s">
        <v>49</v>
      </c>
      <c r="G348" s="23" t="s">
        <v>50</v>
      </c>
      <c r="H348" s="23" t="s">
        <v>51</v>
      </c>
      <c r="I348" s="23" t="s">
        <v>52</v>
      </c>
      <c r="J348" s="23" t="s">
        <v>53</v>
      </c>
      <c r="K348" s="29">
        <v>0.01</v>
      </c>
      <c r="L348" s="29">
        <v>0.05</v>
      </c>
      <c r="M348" s="29">
        <v>0.1</v>
      </c>
      <c r="N348" s="29">
        <v>0.2</v>
      </c>
      <c r="O348" s="30">
        <v>0.3</v>
      </c>
      <c r="P348" s="30">
        <v>0.4</v>
      </c>
      <c r="Q348" s="30">
        <v>0.5</v>
      </c>
      <c r="R348" s="30">
        <v>0.6</v>
      </c>
      <c r="S348" s="30">
        <v>0.7</v>
      </c>
      <c r="T348" s="30">
        <v>0.8</v>
      </c>
      <c r="U348" s="30">
        <v>0.9</v>
      </c>
      <c r="V348" s="30">
        <v>0.95</v>
      </c>
      <c r="W348" s="30">
        <v>0.99</v>
      </c>
      <c r="X348" s="29">
        <v>0.995</v>
      </c>
      <c r="Y348" s="29">
        <v>0.999</v>
      </c>
      <c r="Z348" s="29">
        <v>0.99950000000000006</v>
      </c>
      <c r="AA348" s="29">
        <v>0.99990000000000001</v>
      </c>
      <c r="AB348" s="19"/>
    </row>
    <row r="349" spans="1:28" x14ac:dyDescent="0.2">
      <c r="A349" s="114"/>
      <c r="B349" s="137" t="s">
        <v>60</v>
      </c>
      <c r="C349" s="23" t="s">
        <v>54</v>
      </c>
      <c r="D349" s="23">
        <v>50.4</v>
      </c>
      <c r="E349" s="23" t="s">
        <v>629</v>
      </c>
      <c r="F349" s="23" t="s">
        <v>630</v>
      </c>
      <c r="G349" s="23" t="s">
        <v>250</v>
      </c>
      <c r="H349" s="23" t="s">
        <v>631</v>
      </c>
      <c r="I349" s="23" t="s">
        <v>632</v>
      </c>
      <c r="J349" s="23" t="s">
        <v>633</v>
      </c>
      <c r="K349" s="23" t="s">
        <v>98</v>
      </c>
      <c r="L349" s="23" t="s">
        <v>68</v>
      </c>
      <c r="M349" s="23" t="s">
        <v>88</v>
      </c>
      <c r="N349" s="23" t="s">
        <v>252</v>
      </c>
      <c r="O349" s="23" t="s">
        <v>69</v>
      </c>
      <c r="P349" s="23" t="s">
        <v>456</v>
      </c>
      <c r="Q349" s="23" t="s">
        <v>73</v>
      </c>
      <c r="R349" s="23" t="s">
        <v>301</v>
      </c>
      <c r="S349" s="23" t="s">
        <v>233</v>
      </c>
      <c r="T349" s="23" t="s">
        <v>181</v>
      </c>
      <c r="U349" s="23" t="s">
        <v>114</v>
      </c>
      <c r="V349" s="23" t="s">
        <v>166</v>
      </c>
      <c r="W349" s="23" t="s">
        <v>342</v>
      </c>
      <c r="X349" s="23" t="s">
        <v>327</v>
      </c>
      <c r="Y349" s="23" t="s">
        <v>196</v>
      </c>
      <c r="Z349" s="23" t="s">
        <v>527</v>
      </c>
      <c r="AA349" s="23" t="s">
        <v>634</v>
      </c>
      <c r="AB349" s="19"/>
    </row>
    <row r="350" spans="1:28" x14ac:dyDescent="0.2">
      <c r="A350" s="114"/>
      <c r="B350" s="137"/>
      <c r="C350" s="23" t="s">
        <v>57</v>
      </c>
      <c r="D350" s="56">
        <f>D353*E350/E353</f>
        <v>62.184427053456218</v>
      </c>
      <c r="E350" s="33">
        <f>E344*E353/E347</f>
        <v>1943.568171043318</v>
      </c>
      <c r="F350" s="23"/>
      <c r="G350" s="23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23"/>
      <c r="AA350" s="23"/>
      <c r="AB350" s="19"/>
    </row>
    <row r="351" spans="1:28" x14ac:dyDescent="0.2">
      <c r="A351" s="114"/>
      <c r="B351" s="137"/>
      <c r="C351" s="23" t="s">
        <v>56</v>
      </c>
      <c r="D351" s="56">
        <f>D349*E351/E349</f>
        <v>39.594081108716644</v>
      </c>
      <c r="E351" s="56">
        <f>E345*2.218786</f>
        <v>1236.5294377999999</v>
      </c>
      <c r="F351" s="23"/>
      <c r="G351" s="23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  <c r="Z351" s="23"/>
      <c r="AA351" s="23"/>
      <c r="AB351" s="19"/>
    </row>
    <row r="352" spans="1:28" x14ac:dyDescent="0.2">
      <c r="A352" s="114"/>
      <c r="B352" s="137"/>
      <c r="C352" s="23" t="s">
        <v>55</v>
      </c>
      <c r="D352" s="56">
        <f>D353*E352/E353</f>
        <v>41.770920404999998</v>
      </c>
      <c r="E352" s="56">
        <f>E346*E353/E347</f>
        <v>1305.5460220699999</v>
      </c>
      <c r="F352" s="23"/>
      <c r="G352" s="23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23"/>
      <c r="AA352" s="23"/>
      <c r="AB352" s="19"/>
    </row>
    <row r="353" spans="1:28" x14ac:dyDescent="0.2">
      <c r="A353" s="114"/>
      <c r="B353" s="137"/>
      <c r="C353" s="23" t="s">
        <v>9</v>
      </c>
      <c r="D353" s="23" t="s">
        <v>256</v>
      </c>
      <c r="E353" s="23" t="s">
        <v>556</v>
      </c>
      <c r="F353" s="23" t="s">
        <v>557</v>
      </c>
      <c r="G353" s="23" t="s">
        <v>250</v>
      </c>
      <c r="H353" s="23" t="s">
        <v>558</v>
      </c>
      <c r="I353" s="23" t="s">
        <v>559</v>
      </c>
      <c r="J353" s="23" t="s">
        <v>560</v>
      </c>
      <c r="K353" s="23" t="s">
        <v>82</v>
      </c>
      <c r="L353" s="23" t="s">
        <v>86</v>
      </c>
      <c r="M353" s="23" t="s">
        <v>88</v>
      </c>
      <c r="N353" s="23" t="s">
        <v>244</v>
      </c>
      <c r="O353" s="23" t="s">
        <v>69</v>
      </c>
      <c r="P353" s="23" t="s">
        <v>456</v>
      </c>
      <c r="Q353" s="23" t="s">
        <v>74</v>
      </c>
      <c r="R353" s="23" t="s">
        <v>378</v>
      </c>
      <c r="S353" s="23" t="s">
        <v>233</v>
      </c>
      <c r="T353" s="23" t="s">
        <v>181</v>
      </c>
      <c r="U353" s="23" t="s">
        <v>145</v>
      </c>
      <c r="V353" s="23" t="s">
        <v>149</v>
      </c>
      <c r="W353" s="23" t="s">
        <v>152</v>
      </c>
      <c r="X353" s="23" t="s">
        <v>130</v>
      </c>
      <c r="Y353" s="23" t="s">
        <v>561</v>
      </c>
      <c r="Z353" s="23" t="s">
        <v>472</v>
      </c>
      <c r="AA353" s="23" t="s">
        <v>395</v>
      </c>
      <c r="AB353" s="19"/>
    </row>
    <row r="354" spans="1:28" x14ac:dyDescent="0.2">
      <c r="A354" s="114"/>
      <c r="AB354" s="19"/>
    </row>
    <row r="355" spans="1:28" x14ac:dyDescent="0.2">
      <c r="A355" s="114"/>
      <c r="C355" s="19"/>
      <c r="D355" s="23" t="s">
        <v>47</v>
      </c>
      <c r="E355" s="23" t="s">
        <v>48</v>
      </c>
      <c r="F355" s="23" t="s">
        <v>49</v>
      </c>
      <c r="G355" s="23" t="s">
        <v>50</v>
      </c>
      <c r="H355" s="23" t="s">
        <v>51</v>
      </c>
      <c r="I355" s="23" t="s">
        <v>52</v>
      </c>
      <c r="J355" s="23" t="s">
        <v>53</v>
      </c>
      <c r="K355" s="29">
        <v>0.01</v>
      </c>
      <c r="L355" s="29">
        <v>0.05</v>
      </c>
      <c r="M355" s="29">
        <v>0.1</v>
      </c>
      <c r="N355" s="29">
        <v>0.2</v>
      </c>
      <c r="O355" s="30">
        <v>0.3</v>
      </c>
      <c r="P355" s="30">
        <v>0.4</v>
      </c>
      <c r="Q355" s="30">
        <v>0.5</v>
      </c>
      <c r="R355" s="30">
        <v>0.6</v>
      </c>
      <c r="S355" s="30">
        <v>0.7</v>
      </c>
      <c r="T355" s="30">
        <v>0.8</v>
      </c>
      <c r="U355" s="30">
        <v>0.9</v>
      </c>
      <c r="V355" s="30">
        <v>0.95</v>
      </c>
      <c r="W355" s="30">
        <v>0.99</v>
      </c>
      <c r="X355" s="29">
        <v>0.995</v>
      </c>
      <c r="Y355" s="29">
        <v>0.999</v>
      </c>
      <c r="Z355" s="29">
        <v>0.99950000000000006</v>
      </c>
      <c r="AA355" s="29">
        <v>0.99990000000000001</v>
      </c>
      <c r="AB355" s="19"/>
    </row>
    <row r="356" spans="1:28" x14ac:dyDescent="0.2">
      <c r="A356" s="114"/>
      <c r="B356" s="137" t="s">
        <v>60</v>
      </c>
      <c r="C356" s="23" t="s">
        <v>54</v>
      </c>
      <c r="D356" s="23" t="s">
        <v>223</v>
      </c>
      <c r="E356" s="23" t="s">
        <v>614</v>
      </c>
      <c r="F356" s="23" t="s">
        <v>615</v>
      </c>
      <c r="G356" s="23" t="s">
        <v>93</v>
      </c>
      <c r="H356" s="23" t="s">
        <v>616</v>
      </c>
      <c r="I356" s="23" t="s">
        <v>617</v>
      </c>
      <c r="J356" s="23" t="s">
        <v>618</v>
      </c>
      <c r="K356" s="23" t="s">
        <v>86</v>
      </c>
      <c r="L356" s="23" t="s">
        <v>69</v>
      </c>
      <c r="M356" s="23" t="s">
        <v>255</v>
      </c>
      <c r="N356" s="23" t="s">
        <v>307</v>
      </c>
      <c r="O356" s="23" t="s">
        <v>76</v>
      </c>
      <c r="P356" s="23" t="s">
        <v>109</v>
      </c>
      <c r="Q356" s="23" t="s">
        <v>145</v>
      </c>
      <c r="R356" s="23" t="s">
        <v>148</v>
      </c>
      <c r="S356" s="23" t="s">
        <v>218</v>
      </c>
      <c r="T356" s="23" t="s">
        <v>127</v>
      </c>
      <c r="U356" s="23" t="s">
        <v>153</v>
      </c>
      <c r="V356" s="23" t="s">
        <v>278</v>
      </c>
      <c r="W356" s="23" t="s">
        <v>417</v>
      </c>
      <c r="X356" s="23" t="s">
        <v>484</v>
      </c>
      <c r="Y356" s="23" t="s">
        <v>619</v>
      </c>
      <c r="Z356" s="23" t="s">
        <v>324</v>
      </c>
      <c r="AA356" s="23" t="s">
        <v>620</v>
      </c>
      <c r="AB356" s="19"/>
    </row>
    <row r="357" spans="1:28" x14ac:dyDescent="0.2">
      <c r="A357" s="114"/>
      <c r="B357" s="137"/>
      <c r="C357" s="23" t="s">
        <v>57</v>
      </c>
      <c r="D357" s="56">
        <f>D360*E357/E360</f>
        <v>70.475683993917045</v>
      </c>
      <c r="E357" s="33">
        <f>E344*E360/E347</f>
        <v>2203.2796016783409</v>
      </c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  <c r="Z357" s="23"/>
      <c r="AA357" s="23"/>
      <c r="AB357" s="19"/>
    </row>
    <row r="358" spans="1:28" x14ac:dyDescent="0.2">
      <c r="A358" s="114"/>
      <c r="B358" s="137"/>
      <c r="C358" s="23" t="s">
        <v>56</v>
      </c>
      <c r="D358" s="56">
        <f>D356*E358/E356</f>
        <v>44.585402012578619</v>
      </c>
      <c r="E358" s="56">
        <f>E345*2.49865</f>
        <v>1392.4976449999999</v>
      </c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  <c r="Z358" s="23"/>
      <c r="AA358" s="23"/>
      <c r="AB358" s="19"/>
    </row>
    <row r="359" spans="1:28" x14ac:dyDescent="0.2">
      <c r="A359" s="114"/>
      <c r="B359" s="137"/>
      <c r="C359" s="23" t="s">
        <v>55</v>
      </c>
      <c r="D359" s="56">
        <f>D360*E359/E360</f>
        <v>47.340376459000005</v>
      </c>
      <c r="E359" s="33">
        <f>E346*E360/E347</f>
        <v>1480.0010425850001</v>
      </c>
      <c r="F359" s="23"/>
      <c r="G359" s="23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  <c r="Z359" s="23"/>
      <c r="AA359" s="23"/>
      <c r="AB359" s="19"/>
    </row>
    <row r="360" spans="1:28" s="19" customFormat="1" x14ac:dyDescent="0.2">
      <c r="A360" s="114"/>
      <c r="B360" s="137"/>
      <c r="C360" s="23" t="s">
        <v>9</v>
      </c>
      <c r="D360" s="23">
        <v>57.8</v>
      </c>
      <c r="E360" s="23" t="s">
        <v>562</v>
      </c>
      <c r="F360" s="23" t="s">
        <v>563</v>
      </c>
      <c r="G360" s="23" t="s">
        <v>93</v>
      </c>
      <c r="H360" s="23" t="s">
        <v>564</v>
      </c>
      <c r="I360" s="23" t="s">
        <v>565</v>
      </c>
      <c r="J360" s="23" t="s">
        <v>566</v>
      </c>
      <c r="K360" s="23" t="s">
        <v>86</v>
      </c>
      <c r="L360" s="23" t="s">
        <v>254</v>
      </c>
      <c r="M360" s="23" t="s">
        <v>255</v>
      </c>
      <c r="N360" s="23" t="s">
        <v>256</v>
      </c>
      <c r="O360" s="23" t="s">
        <v>76</v>
      </c>
      <c r="P360" s="23" t="s">
        <v>110</v>
      </c>
      <c r="Q360" s="23" t="s">
        <v>114</v>
      </c>
      <c r="R360" s="23" t="s">
        <v>165</v>
      </c>
      <c r="S360" s="23" t="s">
        <v>116</v>
      </c>
      <c r="T360" s="23" t="s">
        <v>448</v>
      </c>
      <c r="U360" s="23" t="s">
        <v>294</v>
      </c>
      <c r="V360" s="23" t="s">
        <v>196</v>
      </c>
      <c r="W360" s="23" t="s">
        <v>490</v>
      </c>
      <c r="X360" s="23" t="s">
        <v>389</v>
      </c>
      <c r="Y360" s="23" t="s">
        <v>567</v>
      </c>
      <c r="Z360" s="23" t="s">
        <v>356</v>
      </c>
      <c r="AA360" s="23" t="s">
        <v>568</v>
      </c>
    </row>
    <row r="361" spans="1:28" s="19" customFormat="1" x14ac:dyDescent="0.2">
      <c r="A361" s="114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</row>
    <row r="362" spans="1:28" s="19" customFormat="1" x14ac:dyDescent="0.2">
      <c r="A362" s="114"/>
      <c r="B362" s="25"/>
      <c r="D362" s="23" t="s">
        <v>47</v>
      </c>
      <c r="E362" s="23" t="s">
        <v>48</v>
      </c>
      <c r="F362" s="23" t="s">
        <v>49</v>
      </c>
      <c r="G362" s="23" t="s">
        <v>50</v>
      </c>
      <c r="H362" s="23" t="s">
        <v>51</v>
      </c>
      <c r="I362" s="23" t="s">
        <v>52</v>
      </c>
      <c r="J362" s="23" t="s">
        <v>53</v>
      </c>
      <c r="K362" s="29">
        <v>0.01</v>
      </c>
      <c r="L362" s="29">
        <v>0.05</v>
      </c>
      <c r="M362" s="29">
        <v>0.1</v>
      </c>
      <c r="N362" s="29">
        <v>0.2</v>
      </c>
      <c r="O362" s="30">
        <v>0.3</v>
      </c>
      <c r="P362" s="30">
        <v>0.4</v>
      </c>
      <c r="Q362" s="30">
        <v>0.5</v>
      </c>
      <c r="R362" s="30">
        <v>0.6</v>
      </c>
      <c r="S362" s="30">
        <v>0.7</v>
      </c>
      <c r="T362" s="30">
        <v>0.8</v>
      </c>
      <c r="U362" s="30">
        <v>0.9</v>
      </c>
      <c r="V362" s="30">
        <v>0.95</v>
      </c>
      <c r="W362" s="30">
        <v>0.99</v>
      </c>
      <c r="X362" s="29">
        <v>0.995</v>
      </c>
      <c r="Y362" s="29">
        <v>0.999</v>
      </c>
      <c r="Z362" s="29">
        <v>0.99950000000000006</v>
      </c>
      <c r="AA362" s="29">
        <v>0.99990000000000001</v>
      </c>
    </row>
    <row r="363" spans="1:28" s="19" customFormat="1" x14ac:dyDescent="0.2">
      <c r="A363" s="114"/>
      <c r="B363" s="137" t="s">
        <v>60</v>
      </c>
      <c r="C363" s="23" t="s">
        <v>54</v>
      </c>
      <c r="D363" s="23">
        <v>64.3</v>
      </c>
      <c r="E363" s="23" t="s">
        <v>621</v>
      </c>
      <c r="F363" s="23" t="s">
        <v>622</v>
      </c>
      <c r="G363" s="23" t="s">
        <v>452</v>
      </c>
      <c r="H363" s="23" t="s">
        <v>623</v>
      </c>
      <c r="I363" s="23" t="s">
        <v>624</v>
      </c>
      <c r="J363" s="23" t="s">
        <v>625</v>
      </c>
      <c r="K363" s="23" t="s">
        <v>242</v>
      </c>
      <c r="L363" s="23" t="s">
        <v>255</v>
      </c>
      <c r="M363" s="23" t="s">
        <v>378</v>
      </c>
      <c r="N363" s="23" t="s">
        <v>76</v>
      </c>
      <c r="O363" s="23" t="s">
        <v>111</v>
      </c>
      <c r="P363" s="23" t="s">
        <v>114</v>
      </c>
      <c r="Q363" s="23" t="s">
        <v>165</v>
      </c>
      <c r="R363" s="23" t="s">
        <v>218</v>
      </c>
      <c r="S363" s="23" t="s">
        <v>182</v>
      </c>
      <c r="T363" s="23" t="s">
        <v>238</v>
      </c>
      <c r="U363" s="23" t="s">
        <v>135</v>
      </c>
      <c r="V363" s="23" t="s">
        <v>352</v>
      </c>
      <c r="W363" s="23" t="s">
        <v>280</v>
      </c>
      <c r="X363" s="23" t="s">
        <v>626</v>
      </c>
      <c r="Y363" s="23" t="s">
        <v>371</v>
      </c>
      <c r="Z363" s="23" t="s">
        <v>627</v>
      </c>
      <c r="AA363" s="23" t="s">
        <v>628</v>
      </c>
    </row>
    <row r="364" spans="1:28" s="19" customFormat="1" x14ac:dyDescent="0.2">
      <c r="A364" s="114"/>
      <c r="B364" s="137"/>
      <c r="C364" s="23" t="s">
        <v>57</v>
      </c>
      <c r="D364" s="56">
        <f>D367*E364/E367</f>
        <v>74.231017369727041</v>
      </c>
      <c r="E364" s="23">
        <f>2319</f>
        <v>2319</v>
      </c>
      <c r="F364" s="23"/>
      <c r="G364" s="23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23"/>
      <c r="AA364" s="23"/>
    </row>
    <row r="365" spans="1:28" s="19" customFormat="1" x14ac:dyDescent="0.2">
      <c r="A365" s="114"/>
      <c r="B365" s="137"/>
      <c r="C365" s="23" t="s">
        <v>56</v>
      </c>
      <c r="D365" s="56">
        <f>D363*E365/E363</f>
        <v>53.111342857660972</v>
      </c>
      <c r="E365" s="56">
        <f>E345*2.976123675</f>
        <v>1658.5937240774999</v>
      </c>
      <c r="F365" s="23"/>
      <c r="G365" s="23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  <c r="Z365" s="23"/>
      <c r="AA365" s="23"/>
    </row>
    <row r="366" spans="1:28" s="19" customFormat="1" x14ac:dyDescent="0.2">
      <c r="A366" s="114"/>
      <c r="B366" s="137"/>
      <c r="C366" s="23" t="s">
        <v>55</v>
      </c>
      <c r="D366" s="56">
        <f>D367*E366/E367</f>
        <v>53.16848635235732</v>
      </c>
      <c r="E366" s="23">
        <f>1661</f>
        <v>1661</v>
      </c>
      <c r="F366" s="23"/>
      <c r="G366" s="23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  <c r="AA366" s="23"/>
    </row>
    <row r="367" spans="1:28" s="19" customFormat="1" x14ac:dyDescent="0.2">
      <c r="A367" s="114"/>
      <c r="B367" s="137"/>
      <c r="C367" s="23" t="s">
        <v>9</v>
      </c>
      <c r="D367" s="23">
        <v>64.5</v>
      </c>
      <c r="E367" s="23" t="s">
        <v>373</v>
      </c>
      <c r="F367" s="23" t="s">
        <v>374</v>
      </c>
      <c r="G367" s="23" t="s">
        <v>93</v>
      </c>
      <c r="H367" s="23" t="s">
        <v>569</v>
      </c>
      <c r="I367" s="23" t="s">
        <v>570</v>
      </c>
      <c r="J367" s="23" t="s">
        <v>571</v>
      </c>
      <c r="K367" s="23" t="s">
        <v>86</v>
      </c>
      <c r="L367" s="23" t="s">
        <v>244</v>
      </c>
      <c r="M367" s="23" t="s">
        <v>456</v>
      </c>
      <c r="N367" s="23" t="s">
        <v>301</v>
      </c>
      <c r="O367" s="23" t="s">
        <v>106</v>
      </c>
      <c r="P367" s="23" t="s">
        <v>181</v>
      </c>
      <c r="Q367" s="23" t="s">
        <v>111</v>
      </c>
      <c r="R367" s="23" t="s">
        <v>114</v>
      </c>
      <c r="S367" s="23" t="s">
        <v>165</v>
      </c>
      <c r="T367" s="23" t="s">
        <v>124</v>
      </c>
      <c r="U367" s="23" t="s">
        <v>78</v>
      </c>
      <c r="V367" s="23" t="s">
        <v>263</v>
      </c>
      <c r="W367" s="23" t="s">
        <v>264</v>
      </c>
      <c r="X367" s="23" t="s">
        <v>527</v>
      </c>
      <c r="Y367" s="23" t="s">
        <v>516</v>
      </c>
      <c r="Z367" s="23" t="s">
        <v>395</v>
      </c>
      <c r="AA367" s="23" t="s">
        <v>572</v>
      </c>
    </row>
    <row r="368" spans="1:28" x14ac:dyDescent="0.2">
      <c r="A368" s="114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AB368" s="19"/>
    </row>
    <row r="369" spans="1:28" x14ac:dyDescent="0.2">
      <c r="A369" s="114"/>
      <c r="B369" s="7"/>
      <c r="AB369" s="19"/>
    </row>
    <row r="370" spans="1:28" x14ac:dyDescent="0.2">
      <c r="AB370" s="19"/>
    </row>
    <row r="371" spans="1:28" x14ac:dyDescent="0.2">
      <c r="AB371" s="19"/>
    </row>
    <row r="372" spans="1:28" x14ac:dyDescent="0.2">
      <c r="AB372" s="19"/>
    </row>
    <row r="373" spans="1:28" x14ac:dyDescent="0.2">
      <c r="AB373" s="19"/>
    </row>
    <row r="374" spans="1:28" x14ac:dyDescent="0.2">
      <c r="AB374" s="19"/>
    </row>
    <row r="375" spans="1:28" x14ac:dyDescent="0.2">
      <c r="AB375" s="19"/>
    </row>
    <row r="376" spans="1:28" x14ac:dyDescent="0.2">
      <c r="AB376" s="19"/>
    </row>
    <row r="377" spans="1:28" x14ac:dyDescent="0.2">
      <c r="AB377" s="19"/>
    </row>
    <row r="378" spans="1:28" ht="23.25" x14ac:dyDescent="0.2">
      <c r="Y378" s="20"/>
      <c r="Z378" s="20"/>
      <c r="AA378" s="20"/>
      <c r="AB378" s="19"/>
    </row>
    <row r="379" spans="1:28" ht="23.25" x14ac:dyDescent="0.2">
      <c r="A379" s="113" t="s">
        <v>65</v>
      </c>
      <c r="B379" s="113"/>
      <c r="C379" s="113"/>
      <c r="D379" s="113"/>
      <c r="E379" s="113"/>
      <c r="F379" s="113"/>
      <c r="G379" s="113"/>
      <c r="H379" s="113"/>
      <c r="I379" s="113"/>
      <c r="J379" s="113"/>
      <c r="K379" s="113"/>
      <c r="L379" s="113"/>
      <c r="M379" s="113"/>
      <c r="N379" s="113"/>
      <c r="O379" s="113"/>
      <c r="P379" s="113"/>
      <c r="Q379" s="113"/>
      <c r="R379" s="113"/>
      <c r="S379" s="113"/>
      <c r="T379" s="113"/>
      <c r="U379" s="113"/>
      <c r="V379" s="20"/>
      <c r="W379" s="20"/>
      <c r="X379" s="20"/>
      <c r="AB379" s="19"/>
    </row>
    <row r="380" spans="1:28" x14ac:dyDescent="0.2">
      <c r="C380" s="7"/>
      <c r="D380" s="101" t="s">
        <v>47</v>
      </c>
      <c r="E380" s="101" t="s">
        <v>48</v>
      </c>
      <c r="F380" s="101" t="s">
        <v>49</v>
      </c>
      <c r="G380" s="101" t="s">
        <v>50</v>
      </c>
      <c r="H380" s="101" t="s">
        <v>51</v>
      </c>
      <c r="I380" s="101" t="s">
        <v>52</v>
      </c>
      <c r="J380" s="101" t="s">
        <v>53</v>
      </c>
      <c r="K380" s="29">
        <v>0.01</v>
      </c>
      <c r="L380" s="29">
        <v>0.05</v>
      </c>
      <c r="M380" s="29">
        <v>0.1</v>
      </c>
      <c r="N380" s="29">
        <v>0.2</v>
      </c>
      <c r="O380" s="30">
        <v>0.3</v>
      </c>
      <c r="P380" s="30">
        <v>0.4</v>
      </c>
      <c r="Q380" s="30">
        <v>0.5</v>
      </c>
      <c r="R380" s="30">
        <v>0.6</v>
      </c>
      <c r="S380" s="30">
        <v>0.7</v>
      </c>
      <c r="T380" s="30">
        <v>0.8</v>
      </c>
      <c r="U380" s="30">
        <v>0.9</v>
      </c>
      <c r="V380" s="30">
        <v>0.95</v>
      </c>
      <c r="W380" s="30">
        <v>0.99</v>
      </c>
      <c r="X380" s="29">
        <v>0.995</v>
      </c>
      <c r="Y380" s="29">
        <v>0.999</v>
      </c>
      <c r="Z380" s="29">
        <v>0.99950000000000006</v>
      </c>
      <c r="AA380" s="31">
        <v>0.99990000000000001</v>
      </c>
      <c r="AB380" s="19"/>
    </row>
    <row r="381" spans="1:28" x14ac:dyDescent="0.2">
      <c r="A381" s="19"/>
      <c r="B381" s="132" t="s">
        <v>155</v>
      </c>
      <c r="C381" s="84" t="s">
        <v>54</v>
      </c>
      <c r="D381" s="84" t="s">
        <v>118</v>
      </c>
      <c r="E381" s="84" t="s">
        <v>119</v>
      </c>
      <c r="F381" s="84" t="s">
        <v>120</v>
      </c>
      <c r="G381" s="84" t="s">
        <v>68</v>
      </c>
      <c r="H381" s="84" t="s">
        <v>121</v>
      </c>
      <c r="I381" s="84" t="s">
        <v>122</v>
      </c>
      <c r="J381" s="84" t="s">
        <v>123</v>
      </c>
      <c r="K381" s="53" t="s">
        <v>124</v>
      </c>
      <c r="L381" s="53" t="s">
        <v>125</v>
      </c>
      <c r="M381" s="53" t="s">
        <v>126</v>
      </c>
      <c r="N381" s="53" t="s">
        <v>127</v>
      </c>
      <c r="O381" s="54" t="s">
        <v>128</v>
      </c>
      <c r="P381" s="54" t="s">
        <v>129</v>
      </c>
      <c r="Q381" s="54" t="s">
        <v>130</v>
      </c>
      <c r="R381" s="54" t="s">
        <v>131</v>
      </c>
      <c r="S381" s="54" t="s">
        <v>132</v>
      </c>
      <c r="T381" s="54" t="s">
        <v>133</v>
      </c>
      <c r="U381" s="54" t="s">
        <v>134</v>
      </c>
      <c r="V381" s="54" t="s">
        <v>135</v>
      </c>
      <c r="W381" s="54" t="s">
        <v>90</v>
      </c>
      <c r="X381" s="53" t="s">
        <v>136</v>
      </c>
      <c r="Y381" s="53" t="s">
        <v>137</v>
      </c>
      <c r="Z381" s="53" t="s">
        <v>137</v>
      </c>
      <c r="AA381" s="53" t="s">
        <v>138</v>
      </c>
      <c r="AB381" s="19"/>
    </row>
    <row r="382" spans="1:28" ht="14.25" customHeight="1" x14ac:dyDescent="0.2">
      <c r="A382" s="114" t="s">
        <v>61</v>
      </c>
      <c r="B382" s="132"/>
      <c r="C382" s="84" t="s">
        <v>57</v>
      </c>
      <c r="D382" s="38">
        <f>D381*E382/E381</f>
        <v>2913.4330708661419</v>
      </c>
      <c r="E382" s="38">
        <v>91</v>
      </c>
      <c r="F382" s="84"/>
      <c r="G382" s="84"/>
      <c r="H382" s="84"/>
      <c r="I382" s="84"/>
      <c r="J382" s="84"/>
      <c r="K382" s="84">
        <v>67</v>
      </c>
      <c r="L382" s="84">
        <v>70</v>
      </c>
      <c r="M382" s="84">
        <v>71</v>
      </c>
      <c r="N382" s="84">
        <v>73</v>
      </c>
      <c r="O382" s="84">
        <v>74</v>
      </c>
      <c r="P382" s="84">
        <v>74</v>
      </c>
      <c r="Q382" s="84">
        <v>75</v>
      </c>
      <c r="R382" s="84">
        <v>76</v>
      </c>
      <c r="S382" s="84">
        <v>77</v>
      </c>
      <c r="T382" s="84">
        <v>79</v>
      </c>
      <c r="U382" s="84">
        <v>87</v>
      </c>
      <c r="V382" s="84">
        <v>94</v>
      </c>
      <c r="W382" s="84">
        <v>131</v>
      </c>
      <c r="X382" s="38">
        <f>X381/1.34</f>
        <v>36582.835820895518</v>
      </c>
      <c r="Y382" s="38">
        <f t="shared" ref="Y382" si="10">Y381/1.34</f>
        <v>36974.626865671642</v>
      </c>
      <c r="Z382" s="84">
        <f>49035</f>
        <v>49035</v>
      </c>
      <c r="AA382" s="84">
        <v>49035</v>
      </c>
      <c r="AB382" s="19"/>
    </row>
    <row r="383" spans="1:28" x14ac:dyDescent="0.2">
      <c r="A383" s="114"/>
      <c r="B383" s="132"/>
      <c r="C383" s="84" t="s">
        <v>56</v>
      </c>
      <c r="D383" s="90">
        <f>D381*E383/E381</f>
        <v>358.57637795275588</v>
      </c>
      <c r="E383" s="84">
        <v>11.2</v>
      </c>
      <c r="F383" s="84"/>
      <c r="G383" s="84"/>
      <c r="H383" s="84"/>
      <c r="I383" s="84"/>
      <c r="J383" s="84"/>
      <c r="K383" s="38">
        <f>K5*E5/E383</f>
        <v>850.07465892062817</v>
      </c>
      <c r="L383" s="38">
        <f>L5*E5/E383</f>
        <v>899.66726975314782</v>
      </c>
      <c r="M383" s="38">
        <f>M5*E5/E383</f>
        <v>946.44608572089521</v>
      </c>
      <c r="N383" s="38">
        <f>N5*E5/E383</f>
        <v>1005.0087926490683</v>
      </c>
      <c r="O383" s="38">
        <f>O5*E5/E383</f>
        <v>1050.3182438915228</v>
      </c>
      <c r="P383" s="38">
        <f>P5*E5/E383</f>
        <v>1080.4443003567637</v>
      </c>
      <c r="Q383" s="38">
        <f>Q5*E5/E383</f>
        <v>1077.9156131991381</v>
      </c>
      <c r="R383" s="38">
        <f>R5*E5/E383</f>
        <v>1103.2005103734161</v>
      </c>
      <c r="S383" s="38">
        <f>S5*E5/E383</f>
        <v>1115.6941711278546</v>
      </c>
      <c r="T383" s="38">
        <f>T5*E5/E383</f>
        <v>1124.1473555070886</v>
      </c>
      <c r="U383" s="38">
        <f>U5*E5/E383</f>
        <v>1206.8638719140818</v>
      </c>
      <c r="V383" s="38">
        <f>V5*E5/E383</f>
        <v>1304.5660668847695</v>
      </c>
      <c r="W383" s="38">
        <f>W5*E5/E383</f>
        <v>1738.264892311887</v>
      </c>
      <c r="X383" s="38">
        <f>X5*E5/E383</f>
        <v>340165.60194020363</v>
      </c>
      <c r="Y383" s="38">
        <f>Y5*E5/E383</f>
        <v>343808.67207379144</v>
      </c>
      <c r="Z383" s="38">
        <f>Z5*E5/E383</f>
        <v>343808.67207379144</v>
      </c>
      <c r="AA383" s="38">
        <f>AA5*E5/E383</f>
        <v>347444.80302617239</v>
      </c>
      <c r="AB383" s="19"/>
    </row>
    <row r="384" spans="1:28" x14ac:dyDescent="0.2">
      <c r="A384" s="114"/>
      <c r="B384" s="132"/>
      <c r="C384" s="84" t="s">
        <v>55</v>
      </c>
      <c r="D384" s="84" t="s">
        <v>201</v>
      </c>
      <c r="E384" s="84">
        <v>90.1</v>
      </c>
      <c r="F384" s="84" t="s">
        <v>203</v>
      </c>
      <c r="G384" s="84" t="s">
        <v>110</v>
      </c>
      <c r="H384" s="84" t="s">
        <v>204</v>
      </c>
      <c r="I384" s="84" t="s">
        <v>205</v>
      </c>
      <c r="J384" s="84" t="s">
        <v>206</v>
      </c>
      <c r="K384" s="84" t="s">
        <v>113</v>
      </c>
      <c r="L384" s="84" t="s">
        <v>114</v>
      </c>
      <c r="M384" s="84" t="s">
        <v>207</v>
      </c>
      <c r="N384" s="84" t="s">
        <v>147</v>
      </c>
      <c r="O384" s="84" t="s">
        <v>115</v>
      </c>
      <c r="P384" s="84" t="s">
        <v>115</v>
      </c>
      <c r="Q384" s="84" t="s">
        <v>148</v>
      </c>
      <c r="R384" s="84" t="s">
        <v>149</v>
      </c>
      <c r="S384" s="84" t="s">
        <v>165</v>
      </c>
      <c r="T384" s="84" t="s">
        <v>166</v>
      </c>
      <c r="U384" s="84" t="s">
        <v>151</v>
      </c>
      <c r="V384" s="84" t="s">
        <v>182</v>
      </c>
      <c r="W384" s="84" t="s">
        <v>208</v>
      </c>
      <c r="X384" s="84" t="s">
        <v>199</v>
      </c>
      <c r="Y384" s="84" t="s">
        <v>209</v>
      </c>
      <c r="Z384" s="84" t="s">
        <v>136</v>
      </c>
      <c r="AA384" s="84" t="s">
        <v>136</v>
      </c>
      <c r="AB384" s="19"/>
    </row>
    <row r="385" spans="1:28" s="62" customFormat="1" x14ac:dyDescent="0.2">
      <c r="A385" s="114"/>
      <c r="B385" s="135"/>
      <c r="C385" s="50" t="s">
        <v>9</v>
      </c>
      <c r="D385" s="50" t="s">
        <v>201</v>
      </c>
      <c r="E385" s="50" t="s">
        <v>202</v>
      </c>
      <c r="F385" s="50" t="s">
        <v>203</v>
      </c>
      <c r="G385" s="50" t="s">
        <v>110</v>
      </c>
      <c r="H385" s="50" t="s">
        <v>204</v>
      </c>
      <c r="I385" s="50" t="s">
        <v>205</v>
      </c>
      <c r="J385" s="50" t="s">
        <v>206</v>
      </c>
      <c r="K385" s="50" t="s">
        <v>113</v>
      </c>
      <c r="L385" s="50" t="s">
        <v>114</v>
      </c>
      <c r="M385" s="50" t="s">
        <v>207</v>
      </c>
      <c r="N385" s="50" t="s">
        <v>147</v>
      </c>
      <c r="O385" s="50" t="s">
        <v>115</v>
      </c>
      <c r="P385" s="50" t="s">
        <v>115</v>
      </c>
      <c r="Q385" s="50" t="s">
        <v>148</v>
      </c>
      <c r="R385" s="50" t="s">
        <v>149</v>
      </c>
      <c r="S385" s="50" t="s">
        <v>165</v>
      </c>
      <c r="T385" s="50" t="s">
        <v>166</v>
      </c>
      <c r="U385" s="50" t="s">
        <v>151</v>
      </c>
      <c r="V385" s="50" t="s">
        <v>182</v>
      </c>
      <c r="W385" s="50" t="s">
        <v>208</v>
      </c>
      <c r="X385" s="50" t="s">
        <v>199</v>
      </c>
      <c r="Y385" s="84" t="s">
        <v>209</v>
      </c>
      <c r="Z385" s="84" t="s">
        <v>136</v>
      </c>
      <c r="AA385" s="84" t="s">
        <v>136</v>
      </c>
      <c r="AB385" s="19"/>
    </row>
    <row r="386" spans="1:28" s="64" customFormat="1" x14ac:dyDescent="0.2">
      <c r="A386" s="114"/>
      <c r="B386" s="16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63"/>
      <c r="Z386" s="63"/>
      <c r="AA386" s="63"/>
      <c r="AB386" s="15"/>
    </row>
    <row r="387" spans="1:28" s="62" customFormat="1" x14ac:dyDescent="0.2">
      <c r="A387" s="114"/>
      <c r="B387" s="103"/>
      <c r="C387" s="7"/>
      <c r="D387" s="100" t="s">
        <v>47</v>
      </c>
      <c r="E387" s="100" t="s">
        <v>48</v>
      </c>
      <c r="F387" s="100" t="s">
        <v>49</v>
      </c>
      <c r="G387" s="100" t="s">
        <v>50</v>
      </c>
      <c r="H387" s="100" t="s">
        <v>51</v>
      </c>
      <c r="I387" s="100" t="s">
        <v>52</v>
      </c>
      <c r="J387" s="100" t="s">
        <v>53</v>
      </c>
      <c r="K387" s="66">
        <v>0.01</v>
      </c>
      <c r="L387" s="66">
        <v>0.05</v>
      </c>
      <c r="M387" s="66">
        <v>0.1</v>
      </c>
      <c r="N387" s="66">
        <v>0.2</v>
      </c>
      <c r="O387" s="73">
        <v>0.3</v>
      </c>
      <c r="P387" s="73">
        <v>0.4</v>
      </c>
      <c r="Q387" s="73">
        <v>0.5</v>
      </c>
      <c r="R387" s="73">
        <v>0.6</v>
      </c>
      <c r="S387" s="73">
        <v>0.7</v>
      </c>
      <c r="T387" s="73">
        <v>0.8</v>
      </c>
      <c r="U387" s="73">
        <v>0.9</v>
      </c>
      <c r="V387" s="73">
        <v>0.95</v>
      </c>
      <c r="W387" s="73">
        <v>0.99</v>
      </c>
      <c r="X387" s="66">
        <v>0.995</v>
      </c>
      <c r="Y387" s="76">
        <v>0.999</v>
      </c>
      <c r="Z387" s="76">
        <v>0.99950000000000006</v>
      </c>
      <c r="AA387" s="76">
        <v>0.99990000000000001</v>
      </c>
      <c r="AB387" s="19"/>
    </row>
    <row r="388" spans="1:28" s="62" customFormat="1" x14ac:dyDescent="0.2">
      <c r="A388" s="114"/>
      <c r="B388" s="132" t="s">
        <v>156</v>
      </c>
      <c r="C388" s="84" t="s">
        <v>54</v>
      </c>
      <c r="D388" s="84" t="s">
        <v>590</v>
      </c>
      <c r="E388" s="84" t="s">
        <v>591</v>
      </c>
      <c r="F388" s="84" t="s">
        <v>592</v>
      </c>
      <c r="G388" s="84" t="s">
        <v>95</v>
      </c>
      <c r="H388" s="84" t="s">
        <v>593</v>
      </c>
      <c r="I388" s="84" t="s">
        <v>594</v>
      </c>
      <c r="J388" s="84" t="s">
        <v>595</v>
      </c>
      <c r="K388" s="53" t="s">
        <v>81</v>
      </c>
      <c r="L388" s="53" t="s">
        <v>68</v>
      </c>
      <c r="M388" s="53" t="s">
        <v>68</v>
      </c>
      <c r="N388" s="53" t="s">
        <v>68</v>
      </c>
      <c r="O388" s="54" t="s">
        <v>68</v>
      </c>
      <c r="P388" s="54" t="s">
        <v>244</v>
      </c>
      <c r="Q388" s="54" t="s">
        <v>233</v>
      </c>
      <c r="R388" s="54" t="s">
        <v>111</v>
      </c>
      <c r="S388" s="54" t="s">
        <v>125</v>
      </c>
      <c r="T388" s="54" t="s">
        <v>152</v>
      </c>
      <c r="U388" s="54" t="s">
        <v>342</v>
      </c>
      <c r="V388" s="54" t="s">
        <v>263</v>
      </c>
      <c r="W388" s="54" t="s">
        <v>322</v>
      </c>
      <c r="X388" s="53" t="s">
        <v>596</v>
      </c>
      <c r="Y388" s="47" t="s">
        <v>597</v>
      </c>
      <c r="Z388" s="47" t="s">
        <v>597</v>
      </c>
      <c r="AA388" s="47" t="s">
        <v>597</v>
      </c>
      <c r="AB388" s="19"/>
    </row>
    <row r="389" spans="1:28" s="62" customFormat="1" ht="14.25" customHeight="1" x14ac:dyDescent="0.2">
      <c r="A389" s="114"/>
      <c r="B389" s="132"/>
      <c r="C389" s="84" t="s">
        <v>57</v>
      </c>
      <c r="D389" s="38">
        <f>D391*E389/E391</f>
        <v>4514.6503884572703</v>
      </c>
      <c r="E389" s="90">
        <f>E382*E392/E385</f>
        <v>141.3984461709212</v>
      </c>
      <c r="F389" s="84"/>
      <c r="G389" s="84"/>
      <c r="H389" s="84"/>
      <c r="I389" s="84"/>
      <c r="J389" s="84"/>
      <c r="K389" s="84"/>
      <c r="L389" s="84"/>
      <c r="M389" s="84"/>
      <c r="N389" s="84"/>
      <c r="O389" s="84"/>
      <c r="P389" s="84"/>
      <c r="Q389" s="84"/>
      <c r="R389" s="84"/>
      <c r="S389" s="84"/>
      <c r="T389" s="84"/>
      <c r="U389" s="84"/>
      <c r="V389" s="84"/>
      <c r="W389" s="84"/>
      <c r="X389" s="84"/>
      <c r="Y389" s="84"/>
      <c r="Z389" s="84"/>
      <c r="AA389" s="84"/>
      <c r="AB389" s="19"/>
    </row>
    <row r="390" spans="1:28" s="62" customFormat="1" x14ac:dyDescent="0.2">
      <c r="A390" s="114"/>
      <c r="B390" s="132"/>
      <c r="C390" s="84" t="s">
        <v>56</v>
      </c>
      <c r="D390" s="90">
        <f>D388*E390/E388</f>
        <v>836.59746835443036</v>
      </c>
      <c r="E390" s="90">
        <f>E383*E267</f>
        <v>26.133333333333333</v>
      </c>
      <c r="F390" s="84"/>
      <c r="G390" s="84"/>
      <c r="H390" s="84"/>
      <c r="I390" s="84"/>
      <c r="J390" s="84"/>
      <c r="K390" s="84"/>
      <c r="L390" s="84"/>
      <c r="M390" s="84"/>
      <c r="N390" s="84"/>
      <c r="O390" s="84"/>
      <c r="P390" s="84"/>
      <c r="Q390" s="84"/>
      <c r="R390" s="84"/>
      <c r="S390" s="84"/>
      <c r="T390" s="84"/>
      <c r="U390" s="84"/>
      <c r="V390" s="84"/>
      <c r="W390" s="84"/>
      <c r="X390" s="84"/>
      <c r="Y390" s="84"/>
      <c r="Z390" s="84"/>
      <c r="AA390" s="84"/>
      <c r="AB390" s="19"/>
    </row>
    <row r="391" spans="1:28" s="62" customFormat="1" x14ac:dyDescent="0.2">
      <c r="A391" s="114"/>
      <c r="B391" s="132"/>
      <c r="C391" s="84" t="s">
        <v>55</v>
      </c>
      <c r="D391" s="84" t="s">
        <v>210</v>
      </c>
      <c r="E391" s="84" t="s">
        <v>211</v>
      </c>
      <c r="F391" s="84" t="s">
        <v>212</v>
      </c>
      <c r="G391" s="84" t="s">
        <v>213</v>
      </c>
      <c r="H391" s="84" t="s">
        <v>214</v>
      </c>
      <c r="I391" s="84" t="s">
        <v>215</v>
      </c>
      <c r="J391" s="84" t="s">
        <v>216</v>
      </c>
      <c r="K391" s="84" t="s">
        <v>108</v>
      </c>
      <c r="L391" s="84" t="s">
        <v>113</v>
      </c>
      <c r="M391" s="84" t="s">
        <v>114</v>
      </c>
      <c r="N391" s="84" t="s">
        <v>147</v>
      </c>
      <c r="O391" s="84" t="s">
        <v>148</v>
      </c>
      <c r="P391" s="84" t="s">
        <v>150</v>
      </c>
      <c r="Q391" s="84" t="s">
        <v>166</v>
      </c>
      <c r="R391" s="84" t="s">
        <v>217</v>
      </c>
      <c r="S391" s="84" t="s">
        <v>218</v>
      </c>
      <c r="T391" s="84" t="s">
        <v>151</v>
      </c>
      <c r="U391" s="84" t="s">
        <v>182</v>
      </c>
      <c r="V391" s="84" t="s">
        <v>130</v>
      </c>
      <c r="W391" s="84" t="s">
        <v>196</v>
      </c>
      <c r="X391" s="84" t="s">
        <v>199</v>
      </c>
      <c r="Y391" s="84" t="s">
        <v>219</v>
      </c>
      <c r="Z391" s="84" t="s">
        <v>136</v>
      </c>
      <c r="AA391" s="84" t="s">
        <v>136</v>
      </c>
      <c r="AB391" s="19"/>
    </row>
    <row r="392" spans="1:28" s="62" customFormat="1" x14ac:dyDescent="0.2">
      <c r="A392" s="114"/>
      <c r="B392" s="132"/>
      <c r="C392" s="84" t="s">
        <v>9</v>
      </c>
      <c r="D392" s="84" t="s">
        <v>210</v>
      </c>
      <c r="E392" s="84" t="s">
        <v>211</v>
      </c>
      <c r="F392" s="84" t="s">
        <v>212</v>
      </c>
      <c r="G392" s="84" t="s">
        <v>213</v>
      </c>
      <c r="H392" s="84" t="s">
        <v>214</v>
      </c>
      <c r="I392" s="84" t="s">
        <v>215</v>
      </c>
      <c r="J392" s="84" t="s">
        <v>216</v>
      </c>
      <c r="K392" s="84" t="s">
        <v>108</v>
      </c>
      <c r="L392" s="84" t="s">
        <v>113</v>
      </c>
      <c r="M392" s="84" t="s">
        <v>114</v>
      </c>
      <c r="N392" s="84" t="s">
        <v>147</v>
      </c>
      <c r="O392" s="84" t="s">
        <v>148</v>
      </c>
      <c r="P392" s="84" t="s">
        <v>150</v>
      </c>
      <c r="Q392" s="84" t="s">
        <v>166</v>
      </c>
      <c r="R392" s="84" t="s">
        <v>217</v>
      </c>
      <c r="S392" s="84" t="s">
        <v>218</v>
      </c>
      <c r="T392" s="84" t="s">
        <v>151</v>
      </c>
      <c r="U392" s="84" t="s">
        <v>182</v>
      </c>
      <c r="V392" s="84" t="s">
        <v>130</v>
      </c>
      <c r="W392" s="84" t="s">
        <v>196</v>
      </c>
      <c r="X392" s="84" t="s">
        <v>199</v>
      </c>
      <c r="Y392" s="84" t="s">
        <v>219</v>
      </c>
      <c r="Z392" s="84" t="s">
        <v>136</v>
      </c>
      <c r="AA392" s="84" t="s">
        <v>136</v>
      </c>
      <c r="AB392" s="7"/>
    </row>
    <row r="393" spans="1:28" s="68" customFormat="1" x14ac:dyDescent="0.2">
      <c r="A393" s="114"/>
      <c r="B393" s="103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67"/>
      <c r="Z393" s="67"/>
      <c r="AA393" s="67"/>
      <c r="AB393" s="7"/>
    </row>
    <row r="394" spans="1:28" s="62" customFormat="1" x14ac:dyDescent="0.2">
      <c r="A394" s="114"/>
      <c r="B394" s="103"/>
      <c r="C394" s="7"/>
      <c r="D394" s="100" t="s">
        <v>47</v>
      </c>
      <c r="E394" s="100" t="s">
        <v>48</v>
      </c>
      <c r="F394" s="100" t="s">
        <v>49</v>
      </c>
      <c r="G394" s="100" t="s">
        <v>50</v>
      </c>
      <c r="H394" s="100" t="s">
        <v>51</v>
      </c>
      <c r="I394" s="100" t="s">
        <v>52</v>
      </c>
      <c r="J394" s="100" t="s">
        <v>53</v>
      </c>
      <c r="K394" s="66">
        <v>0.01</v>
      </c>
      <c r="L394" s="66">
        <v>0.05</v>
      </c>
      <c r="M394" s="66">
        <v>0.1</v>
      </c>
      <c r="N394" s="66">
        <v>0.2</v>
      </c>
      <c r="O394" s="73">
        <v>0.3</v>
      </c>
      <c r="P394" s="73">
        <v>0.4</v>
      </c>
      <c r="Q394" s="73">
        <v>0.5</v>
      </c>
      <c r="R394" s="73">
        <v>0.6</v>
      </c>
      <c r="S394" s="73">
        <v>0.7</v>
      </c>
      <c r="T394" s="73">
        <v>0.8</v>
      </c>
      <c r="U394" s="73">
        <v>0.9</v>
      </c>
      <c r="V394" s="73">
        <v>0.95</v>
      </c>
      <c r="W394" s="73">
        <v>0.99</v>
      </c>
      <c r="X394" s="66">
        <v>0.995</v>
      </c>
      <c r="Y394" s="29">
        <v>0.999</v>
      </c>
      <c r="Z394" s="29">
        <v>0.99950000000000006</v>
      </c>
      <c r="AA394" s="29">
        <v>0.99990000000000001</v>
      </c>
      <c r="AB394" s="7"/>
    </row>
    <row r="395" spans="1:28" s="62" customFormat="1" x14ac:dyDescent="0.2">
      <c r="A395" s="114"/>
      <c r="B395" s="132" t="s">
        <v>157</v>
      </c>
      <c r="C395" s="84" t="s">
        <v>54</v>
      </c>
      <c r="D395" s="84">
        <v>2688</v>
      </c>
      <c r="E395" s="84">
        <v>84</v>
      </c>
      <c r="F395" s="84"/>
      <c r="G395" s="84"/>
      <c r="H395" s="84"/>
      <c r="I395" s="84"/>
      <c r="J395" s="84"/>
      <c r="K395" s="84"/>
      <c r="L395" s="84"/>
      <c r="M395" s="84"/>
      <c r="N395" s="84"/>
      <c r="O395" s="84"/>
      <c r="P395" s="84"/>
      <c r="Q395" s="84"/>
      <c r="R395" s="84"/>
      <c r="S395" s="84"/>
      <c r="T395" s="84"/>
      <c r="U395" s="84"/>
      <c r="V395" s="84"/>
      <c r="W395" s="84"/>
      <c r="X395" s="84"/>
      <c r="Y395" s="46"/>
      <c r="Z395" s="46"/>
      <c r="AA395" s="46"/>
      <c r="AB395" s="7"/>
    </row>
    <row r="396" spans="1:28" s="62" customFormat="1" ht="14.25" customHeight="1" x14ac:dyDescent="0.2">
      <c r="A396" s="114"/>
      <c r="B396" s="132"/>
      <c r="C396" s="84" t="s">
        <v>57</v>
      </c>
      <c r="D396" s="38">
        <f>D398*E396/E398</f>
        <v>5610.2339181286552</v>
      </c>
      <c r="E396" s="84">
        <v>175</v>
      </c>
      <c r="F396" s="84"/>
      <c r="G396" s="84"/>
      <c r="H396" s="84"/>
      <c r="I396" s="84"/>
      <c r="J396" s="84"/>
      <c r="K396" s="84"/>
      <c r="L396" s="84"/>
      <c r="M396" s="84"/>
      <c r="N396" s="84"/>
      <c r="O396" s="84"/>
      <c r="P396" s="84"/>
      <c r="Q396" s="84"/>
      <c r="R396" s="84"/>
      <c r="S396" s="84"/>
      <c r="T396" s="84"/>
      <c r="U396" s="84"/>
      <c r="V396" s="84"/>
      <c r="W396" s="84"/>
      <c r="X396" s="84"/>
      <c r="Y396" s="106"/>
      <c r="Z396" s="84"/>
      <c r="AA396" s="84"/>
      <c r="AB396" s="7"/>
    </row>
    <row r="397" spans="1:28" s="62" customFormat="1" x14ac:dyDescent="0.2">
      <c r="A397" s="114"/>
      <c r="B397" s="132"/>
      <c r="C397" s="84" t="s">
        <v>56</v>
      </c>
      <c r="D397" s="38">
        <f>D395*E397/E395</f>
        <v>1240.6153846153845</v>
      </c>
      <c r="E397" s="90">
        <f>E383*E268</f>
        <v>38.769230769230766</v>
      </c>
      <c r="F397" s="84"/>
      <c r="G397" s="84"/>
      <c r="H397" s="84"/>
      <c r="I397" s="84"/>
      <c r="J397" s="84"/>
      <c r="K397" s="84"/>
      <c r="L397" s="84"/>
      <c r="M397" s="84"/>
      <c r="N397" s="84"/>
      <c r="O397" s="84"/>
      <c r="P397" s="84"/>
      <c r="Q397" s="84"/>
      <c r="R397" s="84"/>
      <c r="S397" s="84"/>
      <c r="T397" s="84"/>
      <c r="U397" s="84"/>
      <c r="V397" s="84"/>
      <c r="W397" s="84"/>
      <c r="X397" s="84"/>
      <c r="Y397" s="84"/>
      <c r="Z397" s="84"/>
      <c r="AA397" s="84"/>
      <c r="AB397" s="7"/>
    </row>
    <row r="398" spans="1:28" s="62" customFormat="1" x14ac:dyDescent="0.2">
      <c r="A398" s="114"/>
      <c r="B398" s="132"/>
      <c r="C398" s="84" t="s">
        <v>55</v>
      </c>
      <c r="D398" s="84" t="s">
        <v>220</v>
      </c>
      <c r="E398" s="84" t="s">
        <v>221</v>
      </c>
      <c r="F398" s="84" t="s">
        <v>222</v>
      </c>
      <c r="G398" s="84" t="s">
        <v>223</v>
      </c>
      <c r="H398" s="84" t="s">
        <v>224</v>
      </c>
      <c r="I398" s="84" t="s">
        <v>225</v>
      </c>
      <c r="J398" s="84" t="s">
        <v>226</v>
      </c>
      <c r="K398" s="84" t="s">
        <v>108</v>
      </c>
      <c r="L398" s="84" t="s">
        <v>110</v>
      </c>
      <c r="M398" s="84" t="s">
        <v>77</v>
      </c>
      <c r="N398" s="84" t="s">
        <v>114</v>
      </c>
      <c r="O398" s="84" t="s">
        <v>146</v>
      </c>
      <c r="P398" s="84" t="s">
        <v>115</v>
      </c>
      <c r="Q398" s="84" t="s">
        <v>149</v>
      </c>
      <c r="R398" s="84" t="s">
        <v>150</v>
      </c>
      <c r="S398" s="84" t="s">
        <v>167</v>
      </c>
      <c r="T398" s="84" t="s">
        <v>116</v>
      </c>
      <c r="U398" s="84" t="s">
        <v>227</v>
      </c>
      <c r="V398" s="84" t="s">
        <v>132</v>
      </c>
      <c r="W398" s="84" t="s">
        <v>228</v>
      </c>
      <c r="X398" s="84" t="s">
        <v>209</v>
      </c>
      <c r="Y398" s="84" t="s">
        <v>229</v>
      </c>
      <c r="Z398" s="84" t="s">
        <v>136</v>
      </c>
      <c r="AA398" s="84" t="s">
        <v>136</v>
      </c>
      <c r="AB398" s="7"/>
    </row>
    <row r="399" spans="1:28" s="62" customFormat="1" x14ac:dyDescent="0.2">
      <c r="A399" s="114"/>
      <c r="B399" s="132"/>
      <c r="C399" s="50" t="s">
        <v>9</v>
      </c>
      <c r="D399" s="50" t="s">
        <v>220</v>
      </c>
      <c r="E399" s="50" t="s">
        <v>221</v>
      </c>
      <c r="F399" s="50" t="s">
        <v>222</v>
      </c>
      <c r="G399" s="50" t="s">
        <v>223</v>
      </c>
      <c r="H399" s="50" t="s">
        <v>224</v>
      </c>
      <c r="I399" s="50" t="s">
        <v>225</v>
      </c>
      <c r="J399" s="50" t="s">
        <v>226</v>
      </c>
      <c r="K399" s="50" t="s">
        <v>108</v>
      </c>
      <c r="L399" s="50" t="s">
        <v>110</v>
      </c>
      <c r="M399" s="50" t="s">
        <v>77</v>
      </c>
      <c r="N399" s="50" t="s">
        <v>114</v>
      </c>
      <c r="O399" s="50" t="s">
        <v>146</v>
      </c>
      <c r="P399" s="50" t="s">
        <v>115</v>
      </c>
      <c r="Q399" s="50" t="s">
        <v>149</v>
      </c>
      <c r="R399" s="50" t="s">
        <v>150</v>
      </c>
      <c r="S399" s="50" t="s">
        <v>167</v>
      </c>
      <c r="T399" s="50" t="s">
        <v>116</v>
      </c>
      <c r="U399" s="50" t="s">
        <v>227</v>
      </c>
      <c r="V399" s="50" t="s">
        <v>132</v>
      </c>
      <c r="W399" s="50" t="s">
        <v>228</v>
      </c>
      <c r="X399" s="50" t="s">
        <v>209</v>
      </c>
      <c r="Y399" s="84" t="s">
        <v>229</v>
      </c>
      <c r="Z399" s="84" t="s">
        <v>136</v>
      </c>
      <c r="AA399" s="84" t="s">
        <v>136</v>
      </c>
      <c r="AB399" s="7"/>
    </row>
    <row r="400" spans="1:28" s="68" customFormat="1" x14ac:dyDescent="0.2">
      <c r="A400" s="114"/>
      <c r="B400" s="103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67"/>
      <c r="Z400" s="67"/>
      <c r="AA400" s="67"/>
      <c r="AB400" s="7"/>
    </row>
    <row r="401" spans="1:28" s="62" customFormat="1" x14ac:dyDescent="0.2">
      <c r="A401" s="114"/>
      <c r="B401" s="103"/>
      <c r="C401" s="7"/>
      <c r="D401" s="100" t="s">
        <v>47</v>
      </c>
      <c r="E401" s="100" t="s">
        <v>48</v>
      </c>
      <c r="F401" s="100" t="s">
        <v>49</v>
      </c>
      <c r="G401" s="100" t="s">
        <v>50</v>
      </c>
      <c r="H401" s="100" t="s">
        <v>51</v>
      </c>
      <c r="I401" s="100" t="s">
        <v>52</v>
      </c>
      <c r="J401" s="100" t="s">
        <v>53</v>
      </c>
      <c r="K401" s="66">
        <v>0.01</v>
      </c>
      <c r="L401" s="66">
        <v>0.05</v>
      </c>
      <c r="M401" s="66">
        <v>0.1</v>
      </c>
      <c r="N401" s="66">
        <v>0.2</v>
      </c>
      <c r="O401" s="73">
        <v>0.3</v>
      </c>
      <c r="P401" s="73">
        <v>0.4</v>
      </c>
      <c r="Q401" s="73">
        <v>0.5</v>
      </c>
      <c r="R401" s="73">
        <v>0.6</v>
      </c>
      <c r="S401" s="73">
        <v>0.7</v>
      </c>
      <c r="T401" s="73">
        <v>0.8</v>
      </c>
      <c r="U401" s="73">
        <v>0.9</v>
      </c>
      <c r="V401" s="73">
        <v>0.95</v>
      </c>
      <c r="W401" s="73">
        <v>0.99</v>
      </c>
      <c r="X401" s="66">
        <v>0.995</v>
      </c>
      <c r="Y401" s="76">
        <v>0.999</v>
      </c>
      <c r="Z401" s="76">
        <v>0.99950000000000006</v>
      </c>
      <c r="AA401" s="107">
        <v>0.99990000000000001</v>
      </c>
      <c r="AB401" s="19"/>
    </row>
    <row r="402" spans="1:28" s="62" customFormat="1" x14ac:dyDescent="0.2">
      <c r="A402" s="114"/>
      <c r="B402" s="132" t="s">
        <v>158</v>
      </c>
      <c r="C402" s="84" t="s">
        <v>54</v>
      </c>
      <c r="D402" s="84">
        <v>2690</v>
      </c>
      <c r="E402" s="84">
        <v>84.1</v>
      </c>
      <c r="F402" s="84"/>
      <c r="G402" s="84"/>
      <c r="H402" s="84"/>
      <c r="I402" s="84"/>
      <c r="J402" s="84"/>
      <c r="K402" s="84"/>
      <c r="L402" s="84"/>
      <c r="M402" s="84"/>
      <c r="N402" s="84"/>
      <c r="O402" s="84"/>
      <c r="P402" s="84"/>
      <c r="Q402" s="84"/>
      <c r="R402" s="84"/>
      <c r="S402" s="84"/>
      <c r="T402" s="84"/>
      <c r="U402" s="84"/>
      <c r="V402" s="84"/>
      <c r="W402" s="84"/>
      <c r="X402" s="84"/>
      <c r="Y402" s="46"/>
      <c r="Z402" s="46"/>
      <c r="AA402" s="46"/>
      <c r="AB402" s="19"/>
    </row>
    <row r="403" spans="1:28" s="62" customFormat="1" ht="14.25" customHeight="1" x14ac:dyDescent="0.2">
      <c r="A403" s="114"/>
      <c r="B403" s="132"/>
      <c r="C403" s="84" t="s">
        <v>57</v>
      </c>
      <c r="D403" s="38">
        <f>D405*E403/E405</f>
        <v>5799.24</v>
      </c>
      <c r="E403" s="84">
        <v>181</v>
      </c>
      <c r="F403" s="84"/>
      <c r="G403" s="84"/>
      <c r="H403" s="84"/>
      <c r="I403" s="84"/>
      <c r="J403" s="84"/>
      <c r="K403" s="84"/>
      <c r="L403" s="84"/>
      <c r="M403" s="84"/>
      <c r="N403" s="84"/>
      <c r="O403" s="84"/>
      <c r="P403" s="84"/>
      <c r="Q403" s="84"/>
      <c r="R403" s="84"/>
      <c r="S403" s="84"/>
      <c r="T403" s="84"/>
      <c r="U403" s="84"/>
      <c r="V403" s="84"/>
      <c r="W403" s="84"/>
      <c r="X403" s="84"/>
      <c r="Y403" s="84"/>
      <c r="Z403" s="84"/>
      <c r="AA403" s="84"/>
      <c r="AB403" s="19"/>
    </row>
    <row r="404" spans="1:28" x14ac:dyDescent="0.2">
      <c r="A404" s="114"/>
      <c r="B404" s="132"/>
      <c r="C404" s="84" t="s">
        <v>56</v>
      </c>
      <c r="D404" s="38">
        <f>D402*E404/E402</f>
        <v>1616.6736790755817</v>
      </c>
      <c r="E404" s="90">
        <f>E383*E269</f>
        <v>50.543589743589742</v>
      </c>
      <c r="F404" s="84"/>
      <c r="G404" s="84"/>
      <c r="H404" s="84"/>
      <c r="I404" s="84"/>
      <c r="J404" s="84"/>
      <c r="K404" s="84"/>
      <c r="L404" s="84"/>
      <c r="M404" s="84"/>
      <c r="N404" s="84"/>
      <c r="O404" s="84"/>
      <c r="P404" s="84"/>
      <c r="Q404" s="84"/>
      <c r="R404" s="84"/>
      <c r="S404" s="84"/>
      <c r="T404" s="84"/>
      <c r="U404" s="84"/>
      <c r="V404" s="84"/>
      <c r="W404" s="84"/>
      <c r="X404" s="84"/>
      <c r="Y404" s="84"/>
      <c r="Z404" s="84"/>
      <c r="AA404" s="84"/>
      <c r="AB404" s="19"/>
    </row>
    <row r="405" spans="1:28" x14ac:dyDescent="0.2">
      <c r="A405" s="114"/>
      <c r="B405" s="132"/>
      <c r="C405" s="84" t="s">
        <v>55</v>
      </c>
      <c r="D405" s="84" t="s">
        <v>230</v>
      </c>
      <c r="E405" s="84" t="s">
        <v>231</v>
      </c>
      <c r="F405" s="84" t="s">
        <v>232</v>
      </c>
      <c r="G405" s="84" t="s">
        <v>233</v>
      </c>
      <c r="H405" s="84" t="s">
        <v>234</v>
      </c>
      <c r="I405" s="84" t="s">
        <v>235</v>
      </c>
      <c r="J405" s="84" t="s">
        <v>236</v>
      </c>
      <c r="K405" s="84" t="s">
        <v>107</v>
      </c>
      <c r="L405" s="84" t="s">
        <v>111</v>
      </c>
      <c r="M405" s="84" t="s">
        <v>77</v>
      </c>
      <c r="N405" s="84" t="s">
        <v>114</v>
      </c>
      <c r="O405" s="84" t="s">
        <v>146</v>
      </c>
      <c r="P405" s="84" t="s">
        <v>115</v>
      </c>
      <c r="Q405" s="84" t="s">
        <v>149</v>
      </c>
      <c r="R405" s="84" t="s">
        <v>166</v>
      </c>
      <c r="S405" s="84" t="s">
        <v>168</v>
      </c>
      <c r="T405" s="84" t="s">
        <v>237</v>
      </c>
      <c r="U405" s="84" t="s">
        <v>238</v>
      </c>
      <c r="V405" s="84" t="s">
        <v>239</v>
      </c>
      <c r="W405" s="84" t="s">
        <v>99</v>
      </c>
      <c r="X405" s="84" t="s">
        <v>209</v>
      </c>
      <c r="Y405" s="84" t="s">
        <v>240</v>
      </c>
      <c r="Z405" s="84" t="s">
        <v>136</v>
      </c>
      <c r="AA405" s="84" t="s">
        <v>136</v>
      </c>
      <c r="AB405" s="19"/>
    </row>
    <row r="406" spans="1:28" x14ac:dyDescent="0.2">
      <c r="A406" s="114"/>
      <c r="B406" s="132"/>
      <c r="C406" s="84" t="s">
        <v>9</v>
      </c>
      <c r="D406" s="84" t="s">
        <v>230</v>
      </c>
      <c r="E406" s="84" t="s">
        <v>231</v>
      </c>
      <c r="F406" s="84" t="s">
        <v>232</v>
      </c>
      <c r="G406" s="84" t="s">
        <v>233</v>
      </c>
      <c r="H406" s="84" t="s">
        <v>234</v>
      </c>
      <c r="I406" s="84" t="s">
        <v>235</v>
      </c>
      <c r="J406" s="84" t="s">
        <v>236</v>
      </c>
      <c r="K406" s="84" t="s">
        <v>107</v>
      </c>
      <c r="L406" s="84" t="s">
        <v>111</v>
      </c>
      <c r="M406" s="84" t="s">
        <v>77</v>
      </c>
      <c r="N406" s="84" t="s">
        <v>114</v>
      </c>
      <c r="O406" s="84" t="s">
        <v>146</v>
      </c>
      <c r="P406" s="84" t="s">
        <v>115</v>
      </c>
      <c r="Q406" s="84" t="s">
        <v>149</v>
      </c>
      <c r="R406" s="84" t="s">
        <v>166</v>
      </c>
      <c r="S406" s="84" t="s">
        <v>168</v>
      </c>
      <c r="T406" s="84" t="s">
        <v>237</v>
      </c>
      <c r="U406" s="84" t="s">
        <v>238</v>
      </c>
      <c r="V406" s="84" t="s">
        <v>239</v>
      </c>
      <c r="W406" s="84" t="s">
        <v>99</v>
      </c>
      <c r="X406" s="84" t="s">
        <v>209</v>
      </c>
      <c r="Y406" s="84" t="s">
        <v>240</v>
      </c>
      <c r="Z406" s="84" t="s">
        <v>136</v>
      </c>
      <c r="AA406" s="84" t="s">
        <v>136</v>
      </c>
      <c r="AB406" s="19"/>
    </row>
    <row r="407" spans="1:28" x14ac:dyDescent="0.2">
      <c r="A407" s="114"/>
      <c r="B407" s="8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19"/>
    </row>
    <row r="408" spans="1:28" x14ac:dyDescent="0.2">
      <c r="A408" s="114"/>
      <c r="B408" s="8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AB408" s="19"/>
    </row>
    <row r="409" spans="1:28" x14ac:dyDescent="0.2">
      <c r="A409" s="114"/>
      <c r="B409" s="8"/>
      <c r="C409" s="14"/>
      <c r="D409" s="101" t="s">
        <v>2</v>
      </c>
      <c r="E409" s="101" t="s">
        <v>48</v>
      </c>
      <c r="F409" s="101" t="s">
        <v>49</v>
      </c>
      <c r="G409" s="101" t="s">
        <v>50</v>
      </c>
      <c r="H409" s="101" t="s">
        <v>51</v>
      </c>
      <c r="I409" s="101" t="s">
        <v>52</v>
      </c>
      <c r="J409" s="101" t="s">
        <v>53</v>
      </c>
      <c r="K409" s="29">
        <v>0.01</v>
      </c>
      <c r="L409" s="29">
        <v>0.05</v>
      </c>
      <c r="M409" s="29">
        <v>0.1</v>
      </c>
      <c r="N409" s="29">
        <v>0.2</v>
      </c>
      <c r="O409" s="30">
        <v>0.3</v>
      </c>
      <c r="P409" s="30">
        <v>0.4</v>
      </c>
      <c r="Q409" s="30">
        <v>0.5</v>
      </c>
      <c r="R409" s="30">
        <v>0.6</v>
      </c>
      <c r="S409" s="30">
        <v>0.7</v>
      </c>
      <c r="T409" s="30">
        <v>0.8</v>
      </c>
      <c r="U409" s="30">
        <v>0.9</v>
      </c>
      <c r="V409" s="30">
        <v>0.95</v>
      </c>
      <c r="W409" s="30">
        <v>0.99</v>
      </c>
      <c r="X409" s="29">
        <v>0.995</v>
      </c>
      <c r="Y409" s="29">
        <v>0.999</v>
      </c>
      <c r="Z409" s="29">
        <v>0.99950000000000006</v>
      </c>
      <c r="AA409" s="29">
        <v>0.99990000000000001</v>
      </c>
      <c r="AB409" s="19"/>
    </row>
    <row r="410" spans="1:28" x14ac:dyDescent="0.2">
      <c r="A410" s="114"/>
      <c r="B410" s="116" t="s">
        <v>246</v>
      </c>
      <c r="C410" s="24" t="s">
        <v>54</v>
      </c>
      <c r="D410" s="24">
        <f>28.2</f>
        <v>28.2</v>
      </c>
      <c r="E410" s="24">
        <v>883</v>
      </c>
      <c r="F410" s="24">
        <f>926</f>
        <v>926</v>
      </c>
      <c r="G410" s="24" t="s">
        <v>82</v>
      </c>
      <c r="H410" s="24" t="s">
        <v>83</v>
      </c>
      <c r="I410" s="24" t="s">
        <v>84</v>
      </c>
      <c r="J410" s="24" t="s">
        <v>85</v>
      </c>
      <c r="K410" s="37" t="s">
        <v>68</v>
      </c>
      <c r="L410" s="37" t="s">
        <v>86</v>
      </c>
      <c r="M410" s="37" t="s">
        <v>86</v>
      </c>
      <c r="N410" s="37" t="s">
        <v>87</v>
      </c>
      <c r="O410" s="37" t="s">
        <v>87</v>
      </c>
      <c r="P410" s="37" t="s">
        <v>88</v>
      </c>
      <c r="Q410" s="37" t="s">
        <v>89</v>
      </c>
      <c r="R410" s="37" t="s">
        <v>242</v>
      </c>
      <c r="S410" s="37" t="s">
        <v>243</v>
      </c>
      <c r="T410" s="37" t="s">
        <v>252</v>
      </c>
      <c r="U410" s="37" t="s">
        <v>254</v>
      </c>
      <c r="V410" s="37" t="s">
        <v>75</v>
      </c>
      <c r="W410" s="37" t="s">
        <v>108</v>
      </c>
      <c r="X410" s="37" t="s">
        <v>111</v>
      </c>
      <c r="Y410" s="37" t="s">
        <v>168</v>
      </c>
      <c r="Z410" s="37" t="s">
        <v>227</v>
      </c>
      <c r="AA410" s="37" t="s">
        <v>425</v>
      </c>
      <c r="AB410" s="19"/>
    </row>
    <row r="411" spans="1:28" ht="14.25" customHeight="1" x14ac:dyDescent="0.2">
      <c r="A411" s="114"/>
      <c r="B411" s="116"/>
      <c r="C411" s="24" t="s">
        <v>57</v>
      </c>
      <c r="D411" s="58">
        <f>D410*1.13</f>
        <v>31.865999999999996</v>
      </c>
      <c r="E411" s="57">
        <f>E410*1.13</f>
        <v>997.78999999999985</v>
      </c>
      <c r="F411" s="24"/>
      <c r="G411" s="24"/>
      <c r="H411" s="24"/>
      <c r="I411" s="24"/>
      <c r="J411" s="24"/>
      <c r="K411" s="24" t="s">
        <v>251</v>
      </c>
      <c r="L411" s="24" t="s">
        <v>96</v>
      </c>
      <c r="M411" s="24" t="s">
        <v>98</v>
      </c>
      <c r="N411" s="24" t="s">
        <v>81</v>
      </c>
      <c r="O411" s="24" t="s">
        <v>68</v>
      </c>
      <c r="P411" s="24" t="s">
        <v>86</v>
      </c>
      <c r="Q411" s="24" t="s">
        <v>86</v>
      </c>
      <c r="R411" s="24" t="s">
        <v>87</v>
      </c>
      <c r="S411" s="24" t="s">
        <v>88</v>
      </c>
      <c r="T411" s="24" t="s">
        <v>244</v>
      </c>
      <c r="U411" s="24" t="s">
        <v>69</v>
      </c>
      <c r="V411" s="24" t="s">
        <v>71</v>
      </c>
      <c r="W411" s="24" t="s">
        <v>256</v>
      </c>
      <c r="X411" s="24" t="s">
        <v>76</v>
      </c>
      <c r="Y411" s="24" t="s">
        <v>114</v>
      </c>
      <c r="Z411" s="24" t="s">
        <v>150</v>
      </c>
      <c r="AA411" s="24" t="s">
        <v>327</v>
      </c>
      <c r="AB411" s="19"/>
    </row>
    <row r="412" spans="1:28" x14ac:dyDescent="0.2">
      <c r="A412" s="114"/>
      <c r="B412" s="116"/>
      <c r="C412" s="24" t="s">
        <v>56</v>
      </c>
      <c r="D412" s="69">
        <f>D410*E412/E410</f>
        <v>4.9693318233295587</v>
      </c>
      <c r="E412" s="24">
        <v>155.6</v>
      </c>
      <c r="F412" s="24"/>
      <c r="G412" s="24"/>
      <c r="H412" s="24"/>
      <c r="I412" s="24"/>
      <c r="J412" s="24"/>
      <c r="K412" s="57">
        <f>K34*E34/E412</f>
        <v>164.56575432225333</v>
      </c>
      <c r="L412" s="57">
        <f>L34*E34/E412</f>
        <v>170.24043550577932</v>
      </c>
      <c r="M412" s="57">
        <f>M34*E34/E412</f>
        <v>170.24043550577932</v>
      </c>
      <c r="N412" s="57">
        <f>N34*E34/E412</f>
        <v>175.91511668930525</v>
      </c>
      <c r="O412" s="57">
        <f>O34*E34/E412</f>
        <v>175.91511668930525</v>
      </c>
      <c r="P412" s="57">
        <f>P34*E34/E412</f>
        <v>181.58979787283127</v>
      </c>
      <c r="Q412" s="57">
        <f>Q34*E34/E412</f>
        <v>187.26447905635723</v>
      </c>
      <c r="R412" s="57">
        <f>R34*E34/E412</f>
        <v>192.93916023988322</v>
      </c>
      <c r="S412" s="57">
        <f>S34*E34/E412</f>
        <v>198.61384142340918</v>
      </c>
      <c r="T412" s="57">
        <f>T34*E34/E412</f>
        <v>204.28852260693517</v>
      </c>
      <c r="U412" s="57">
        <f>U34*E34/E412</f>
        <v>215.63788497398713</v>
      </c>
      <c r="V412" s="57">
        <f>V34*E34/E412</f>
        <v>266.71001562572087</v>
      </c>
      <c r="W412" s="57">
        <f>W34*E34/E412</f>
        <v>346.15555219508462</v>
      </c>
      <c r="X412" s="57">
        <f>X34*E34/E412</f>
        <v>709.05141388174809</v>
      </c>
      <c r="Y412" s="57">
        <f>Y34*E34/E412</f>
        <v>897.16709511568115</v>
      </c>
      <c r="Z412" s="57">
        <f>Z34*E34/E412</f>
        <v>1081.6651670951157</v>
      </c>
      <c r="AA412" s="57">
        <f>AA34*E34/E412</f>
        <v>1834.1278920308482</v>
      </c>
      <c r="AB412" s="19"/>
    </row>
    <row r="413" spans="1:28" x14ac:dyDescent="0.2">
      <c r="A413" s="114"/>
      <c r="B413" s="116"/>
      <c r="C413" s="24" t="s">
        <v>55</v>
      </c>
      <c r="D413" s="24">
        <f>D410*0.4</f>
        <v>11.280000000000001</v>
      </c>
      <c r="E413" s="102">
        <f>E414*0.4</f>
        <v>380</v>
      </c>
      <c r="F413" s="24"/>
      <c r="G413" s="24"/>
      <c r="H413" s="24"/>
      <c r="I413" s="24"/>
      <c r="J413" s="24"/>
      <c r="K413" s="24" t="s">
        <v>96</v>
      </c>
      <c r="L413" s="24" t="s">
        <v>96</v>
      </c>
      <c r="M413" s="24" t="s">
        <v>98</v>
      </c>
      <c r="N413" s="24" t="s">
        <v>87</v>
      </c>
      <c r="O413" s="24" t="s">
        <v>128</v>
      </c>
      <c r="P413" s="24" t="s">
        <v>429</v>
      </c>
      <c r="Q413" s="24" t="s">
        <v>429</v>
      </c>
      <c r="R413" s="24" t="s">
        <v>129</v>
      </c>
      <c r="S413" s="24" t="s">
        <v>130</v>
      </c>
      <c r="T413" s="24" t="s">
        <v>403</v>
      </c>
      <c r="U413" s="24" t="s">
        <v>664</v>
      </c>
      <c r="V413" s="24" t="s">
        <v>653</v>
      </c>
      <c r="W413" s="24" t="s">
        <v>315</v>
      </c>
      <c r="X413" s="24" t="s">
        <v>754</v>
      </c>
      <c r="Y413" s="24" t="s">
        <v>672</v>
      </c>
      <c r="Z413" s="24" t="s">
        <v>760</v>
      </c>
      <c r="AA413" s="24" t="s">
        <v>759</v>
      </c>
      <c r="AB413" s="19"/>
    </row>
    <row r="414" spans="1:28" x14ac:dyDescent="0.2">
      <c r="A414" s="114"/>
      <c r="B414" s="116"/>
      <c r="C414" s="24" t="s">
        <v>9</v>
      </c>
      <c r="D414" s="37">
        <v>30.4</v>
      </c>
      <c r="E414" s="37" t="s">
        <v>266</v>
      </c>
      <c r="F414" s="37" t="s">
        <v>267</v>
      </c>
      <c r="G414" s="37" t="s">
        <v>268</v>
      </c>
      <c r="H414" s="37" t="s">
        <v>269</v>
      </c>
      <c r="I414" s="37" t="s">
        <v>270</v>
      </c>
      <c r="J414" s="37" t="s">
        <v>271</v>
      </c>
      <c r="K414" s="37" t="s">
        <v>95</v>
      </c>
      <c r="L414" s="37" t="s">
        <v>95</v>
      </c>
      <c r="M414" s="37" t="s">
        <v>251</v>
      </c>
      <c r="N414" s="37" t="s">
        <v>98</v>
      </c>
      <c r="O414" s="37" t="s">
        <v>68</v>
      </c>
      <c r="P414" s="37" t="s">
        <v>86</v>
      </c>
      <c r="Q414" s="37" t="s">
        <v>88</v>
      </c>
      <c r="R414" s="37" t="s">
        <v>242</v>
      </c>
      <c r="S414" s="37" t="s">
        <v>243</v>
      </c>
      <c r="T414" s="37" t="s">
        <v>252</v>
      </c>
      <c r="U414" s="37" t="s">
        <v>244</v>
      </c>
      <c r="V414" s="37" t="s">
        <v>71</v>
      </c>
      <c r="W414" s="37" t="s">
        <v>106</v>
      </c>
      <c r="X414" s="37" t="s">
        <v>193</v>
      </c>
      <c r="Y414" s="37" t="s">
        <v>146</v>
      </c>
      <c r="Z414" s="37" t="s">
        <v>245</v>
      </c>
      <c r="AA414" s="37" t="s">
        <v>272</v>
      </c>
      <c r="AB414" s="19"/>
    </row>
    <row r="415" spans="1:28" x14ac:dyDescent="0.2">
      <c r="A415" s="114"/>
      <c r="B415" s="9"/>
      <c r="C415" s="14"/>
      <c r="D415" s="37"/>
      <c r="E415" s="37"/>
      <c r="F415" s="37"/>
      <c r="G415" s="37"/>
      <c r="H415" s="37"/>
      <c r="I415" s="37"/>
      <c r="J415" s="37"/>
      <c r="K415" s="37"/>
      <c r="L415" s="37"/>
      <c r="M415" s="37"/>
      <c r="N415" s="37"/>
      <c r="O415" s="37"/>
      <c r="P415" s="37"/>
      <c r="Q415" s="37"/>
      <c r="R415" s="37"/>
      <c r="S415" s="37"/>
      <c r="T415" s="37"/>
      <c r="U415" s="37"/>
      <c r="V415" s="37"/>
      <c r="W415" s="37"/>
      <c r="X415" s="37"/>
      <c r="Y415" s="70"/>
      <c r="Z415" s="70"/>
      <c r="AA415" s="70"/>
      <c r="AB415" s="19"/>
    </row>
    <row r="416" spans="1:28" x14ac:dyDescent="0.2">
      <c r="A416" s="114"/>
      <c r="B416" s="9"/>
      <c r="C416" s="14"/>
      <c r="D416" s="101" t="s">
        <v>105</v>
      </c>
      <c r="E416" s="101" t="s">
        <v>48</v>
      </c>
      <c r="F416" s="101" t="s">
        <v>49</v>
      </c>
      <c r="G416" s="101" t="s">
        <v>50</v>
      </c>
      <c r="H416" s="101" t="s">
        <v>51</v>
      </c>
      <c r="I416" s="101" t="s">
        <v>52</v>
      </c>
      <c r="J416" s="101" t="s">
        <v>53</v>
      </c>
      <c r="K416" s="29">
        <v>0.01</v>
      </c>
      <c r="L416" s="29">
        <v>0.05</v>
      </c>
      <c r="M416" s="29">
        <v>0.1</v>
      </c>
      <c r="N416" s="29">
        <v>0.2</v>
      </c>
      <c r="O416" s="30">
        <v>0.3</v>
      </c>
      <c r="P416" s="30">
        <v>0.4</v>
      </c>
      <c r="Q416" s="30">
        <v>0.5</v>
      </c>
      <c r="R416" s="30">
        <v>0.6</v>
      </c>
      <c r="S416" s="30">
        <v>0.7</v>
      </c>
      <c r="T416" s="30">
        <v>0.8</v>
      </c>
      <c r="U416" s="30">
        <v>0.9</v>
      </c>
      <c r="V416" s="30">
        <v>0.95</v>
      </c>
      <c r="W416" s="30">
        <v>0.99</v>
      </c>
      <c r="X416" s="29">
        <v>0.995</v>
      </c>
      <c r="Y416" s="29">
        <v>0.999</v>
      </c>
      <c r="Z416" s="29">
        <v>0.99950000000000006</v>
      </c>
      <c r="AA416" s="29">
        <v>0.99990000000000001</v>
      </c>
      <c r="AB416" s="19"/>
    </row>
    <row r="417" spans="1:28" x14ac:dyDescent="0.2">
      <c r="A417" s="114"/>
      <c r="B417" s="133" t="s">
        <v>247</v>
      </c>
      <c r="C417" s="24" t="s">
        <v>54</v>
      </c>
      <c r="D417" s="37">
        <v>37.4</v>
      </c>
      <c r="E417" s="37" t="s">
        <v>598</v>
      </c>
      <c r="F417" s="37" t="s">
        <v>599</v>
      </c>
      <c r="G417" s="37" t="s">
        <v>452</v>
      </c>
      <c r="H417" s="37" t="s">
        <v>600</v>
      </c>
      <c r="I417" s="37" t="s">
        <v>601</v>
      </c>
      <c r="J417" s="37"/>
      <c r="K417" s="37" t="s">
        <v>95</v>
      </c>
      <c r="L417" s="37" t="s">
        <v>95</v>
      </c>
      <c r="M417" s="37" t="s">
        <v>251</v>
      </c>
      <c r="N417" s="37" t="s">
        <v>251</v>
      </c>
      <c r="O417" s="37" t="s">
        <v>96</v>
      </c>
      <c r="P417" s="37" t="s">
        <v>96</v>
      </c>
      <c r="Q417" s="37" t="s">
        <v>97</v>
      </c>
      <c r="R417" s="37" t="s">
        <v>82</v>
      </c>
      <c r="S417" s="37" t="s">
        <v>68</v>
      </c>
      <c r="T417" s="37" t="s">
        <v>86</v>
      </c>
      <c r="U417" s="37" t="s">
        <v>87</v>
      </c>
      <c r="V417" s="37" t="s">
        <v>244</v>
      </c>
      <c r="W417" s="37" t="s">
        <v>74</v>
      </c>
      <c r="X417" s="37" t="s">
        <v>233</v>
      </c>
      <c r="Y417" s="37" t="s">
        <v>110</v>
      </c>
      <c r="Z417" s="37" t="s">
        <v>207</v>
      </c>
      <c r="AA417" s="37" t="s">
        <v>425</v>
      </c>
      <c r="AB417" s="19"/>
    </row>
    <row r="418" spans="1:28" ht="14.25" customHeight="1" x14ac:dyDescent="0.2">
      <c r="A418" s="114"/>
      <c r="B418" s="133"/>
      <c r="C418" s="24" t="s">
        <v>57</v>
      </c>
      <c r="D418" s="58">
        <f>D421*E418/E421</f>
        <v>36.550623157894726</v>
      </c>
      <c r="E418" s="58">
        <f>E411*E421/E414</f>
        <v>1142.7321263157892</v>
      </c>
      <c r="F418" s="24"/>
      <c r="G418" s="24"/>
      <c r="H418" s="24"/>
      <c r="I418" s="24"/>
      <c r="J418" s="24"/>
      <c r="K418" s="27"/>
      <c r="L418" s="27"/>
      <c r="M418" s="27"/>
      <c r="N418" s="27"/>
      <c r="O418" s="27"/>
      <c r="P418" s="27"/>
      <c r="Q418" s="27"/>
      <c r="R418" s="27"/>
      <c r="S418" s="24"/>
      <c r="T418" s="24"/>
      <c r="U418" s="24"/>
      <c r="V418" s="24"/>
      <c r="W418" s="24"/>
      <c r="X418" s="24"/>
      <c r="Y418" s="24"/>
      <c r="Z418" s="24"/>
      <c r="AA418" s="24"/>
      <c r="AB418" s="19"/>
    </row>
    <row r="419" spans="1:28" x14ac:dyDescent="0.2">
      <c r="A419" s="114"/>
      <c r="B419" s="133"/>
      <c r="C419" s="24" t="s">
        <v>56</v>
      </c>
      <c r="D419" s="58">
        <f>D417*E419/E417</f>
        <v>12.985600625990545</v>
      </c>
      <c r="E419" s="61">
        <f>E412*E271</f>
        <v>405.88682170542637</v>
      </c>
      <c r="F419" s="24"/>
      <c r="G419" s="24"/>
      <c r="H419" s="24"/>
      <c r="I419" s="24"/>
      <c r="J419" s="24"/>
      <c r="K419" s="24"/>
      <c r="L419" s="24"/>
      <c r="M419" s="24"/>
      <c r="N419" s="24"/>
      <c r="O419" s="24"/>
      <c r="P419" s="24"/>
      <c r="Q419" s="24"/>
      <c r="R419" s="24"/>
      <c r="S419" s="24"/>
      <c r="T419" s="24"/>
      <c r="U419" s="24"/>
      <c r="V419" s="24"/>
      <c r="W419" s="24"/>
      <c r="X419" s="24"/>
      <c r="Y419" s="24"/>
      <c r="Z419" s="24"/>
      <c r="AA419" s="24"/>
      <c r="AB419" s="7"/>
    </row>
    <row r="420" spans="1:28" x14ac:dyDescent="0.2">
      <c r="A420" s="114"/>
      <c r="B420" s="133"/>
      <c r="C420" s="24" t="s">
        <v>55</v>
      </c>
      <c r="D420" s="58">
        <f>D419*E420/E419</f>
        <v>13.923421727972626</v>
      </c>
      <c r="E420" s="61">
        <f>E413*E421/E414</f>
        <v>435.2</v>
      </c>
      <c r="F420" s="24"/>
      <c r="G420" s="24"/>
      <c r="H420" s="24"/>
      <c r="I420" s="24"/>
      <c r="J420" s="24"/>
      <c r="K420" s="24"/>
      <c r="L420" s="24"/>
      <c r="M420" s="24"/>
      <c r="N420" s="24"/>
      <c r="O420" s="24"/>
      <c r="P420" s="24"/>
      <c r="Q420" s="24"/>
      <c r="R420" s="24"/>
      <c r="S420" s="24"/>
      <c r="T420" s="24"/>
      <c r="U420" s="24"/>
      <c r="V420" s="24"/>
      <c r="W420" s="24"/>
      <c r="X420" s="24"/>
      <c r="Y420" s="24"/>
      <c r="Z420" s="24"/>
      <c r="AA420" s="24"/>
      <c r="AB420" s="7"/>
    </row>
    <row r="421" spans="1:28" x14ac:dyDescent="0.2">
      <c r="A421" s="114"/>
      <c r="B421" s="133"/>
      <c r="C421" s="71" t="s">
        <v>9</v>
      </c>
      <c r="D421" s="37">
        <v>34.799999999999997</v>
      </c>
      <c r="E421" s="37" t="s">
        <v>273</v>
      </c>
      <c r="F421" s="37" t="s">
        <v>274</v>
      </c>
      <c r="G421" s="37" t="s">
        <v>265</v>
      </c>
      <c r="H421" s="37" t="s">
        <v>275</v>
      </c>
      <c r="I421" s="37" t="s">
        <v>276</v>
      </c>
      <c r="J421" s="37" t="s">
        <v>277</v>
      </c>
      <c r="K421" s="37" t="s">
        <v>95</v>
      </c>
      <c r="L421" s="37" t="s">
        <v>251</v>
      </c>
      <c r="M421" s="37" t="s">
        <v>97</v>
      </c>
      <c r="N421" s="37" t="s">
        <v>82</v>
      </c>
      <c r="O421" s="37" t="s">
        <v>81</v>
      </c>
      <c r="P421" s="37" t="s">
        <v>68</v>
      </c>
      <c r="Q421" s="37" t="s">
        <v>86</v>
      </c>
      <c r="R421" s="37" t="s">
        <v>242</v>
      </c>
      <c r="S421" s="37" t="s">
        <v>244</v>
      </c>
      <c r="T421" s="37" t="s">
        <v>70</v>
      </c>
      <c r="U421" s="37" t="s">
        <v>255</v>
      </c>
      <c r="V421" s="37" t="s">
        <v>74</v>
      </c>
      <c r="W421" s="37" t="s">
        <v>107</v>
      </c>
      <c r="X421" s="37" t="s">
        <v>114</v>
      </c>
      <c r="Y421" s="37" t="s">
        <v>278</v>
      </c>
      <c r="Z421" s="37" t="s">
        <v>279</v>
      </c>
      <c r="AA421" s="37" t="s">
        <v>280</v>
      </c>
      <c r="AB421" s="7"/>
    </row>
    <row r="422" spans="1:28" x14ac:dyDescent="0.2">
      <c r="A422" s="114"/>
      <c r="B422" s="9"/>
      <c r="C422" s="14"/>
      <c r="D422" s="37"/>
      <c r="E422" s="37"/>
      <c r="F422" s="37"/>
      <c r="G422" s="37"/>
      <c r="H422" s="37"/>
      <c r="I422" s="37"/>
      <c r="J422" s="37"/>
      <c r="K422" s="37"/>
      <c r="L422" s="37"/>
      <c r="M422" s="37"/>
      <c r="N422" s="37"/>
      <c r="O422" s="37"/>
      <c r="P422" s="37"/>
      <c r="Q422" s="37"/>
      <c r="R422" s="37"/>
      <c r="S422" s="37"/>
      <c r="T422" s="37"/>
      <c r="U422" s="37"/>
      <c r="V422" s="37"/>
      <c r="W422" s="37"/>
      <c r="X422" s="37"/>
      <c r="Y422" s="35"/>
      <c r="Z422" s="35"/>
      <c r="AA422" s="35"/>
      <c r="AB422" s="7"/>
    </row>
    <row r="423" spans="1:28" x14ac:dyDescent="0.2">
      <c r="A423" s="114"/>
      <c r="B423" s="9"/>
      <c r="C423" s="14"/>
      <c r="D423" s="34" t="s">
        <v>105</v>
      </c>
      <c r="E423" s="101" t="s">
        <v>48</v>
      </c>
      <c r="F423" s="101" t="s">
        <v>49</v>
      </c>
      <c r="G423" s="101" t="s">
        <v>50</v>
      </c>
      <c r="H423" s="101" t="s">
        <v>51</v>
      </c>
      <c r="I423" s="101" t="s">
        <v>52</v>
      </c>
      <c r="J423" s="101" t="s">
        <v>53</v>
      </c>
      <c r="K423" s="29">
        <v>0.01</v>
      </c>
      <c r="L423" s="29">
        <v>0.05</v>
      </c>
      <c r="M423" s="29">
        <v>0.1</v>
      </c>
      <c r="N423" s="29">
        <v>0.2</v>
      </c>
      <c r="O423" s="30">
        <v>0.3</v>
      </c>
      <c r="P423" s="30">
        <v>0.4</v>
      </c>
      <c r="Q423" s="30">
        <v>0.5</v>
      </c>
      <c r="R423" s="30">
        <v>0.6</v>
      </c>
      <c r="S423" s="30">
        <v>0.7</v>
      </c>
      <c r="T423" s="30">
        <v>0.8</v>
      </c>
      <c r="U423" s="30">
        <v>0.9</v>
      </c>
      <c r="V423" s="30">
        <v>0.95</v>
      </c>
      <c r="W423" s="30">
        <v>0.99</v>
      </c>
      <c r="X423" s="29">
        <v>0.995</v>
      </c>
      <c r="Y423" s="29">
        <v>0.999</v>
      </c>
      <c r="Z423" s="29">
        <v>0.99950000000000006</v>
      </c>
      <c r="AA423" s="29">
        <v>0.99990000000000001</v>
      </c>
      <c r="AB423" s="7"/>
    </row>
    <row r="424" spans="1:28" x14ac:dyDescent="0.2">
      <c r="A424" s="114"/>
      <c r="B424" s="133" t="s">
        <v>248</v>
      </c>
      <c r="C424" s="41" t="s">
        <v>54</v>
      </c>
      <c r="D424" s="24">
        <v>39.9</v>
      </c>
      <c r="E424" s="24" t="s">
        <v>602</v>
      </c>
      <c r="F424" s="24" t="s">
        <v>603</v>
      </c>
      <c r="G424" s="24" t="s">
        <v>265</v>
      </c>
      <c r="H424" s="24" t="s">
        <v>604</v>
      </c>
      <c r="I424" s="24" t="s">
        <v>605</v>
      </c>
      <c r="J424" s="24" t="s">
        <v>606</v>
      </c>
      <c r="K424" s="24" t="s">
        <v>251</v>
      </c>
      <c r="L424" s="24" t="s">
        <v>98</v>
      </c>
      <c r="M424" s="24" t="s">
        <v>241</v>
      </c>
      <c r="N424" s="24" t="s">
        <v>68</v>
      </c>
      <c r="O424" s="24" t="s">
        <v>87</v>
      </c>
      <c r="P424" s="24" t="s">
        <v>89</v>
      </c>
      <c r="Q424" s="24" t="s">
        <v>244</v>
      </c>
      <c r="R424" s="24" t="s">
        <v>456</v>
      </c>
      <c r="S424" s="24" t="s">
        <v>72</v>
      </c>
      <c r="T424" s="24" t="s">
        <v>73</v>
      </c>
      <c r="U424" s="24" t="s">
        <v>177</v>
      </c>
      <c r="V424" s="24" t="s">
        <v>76</v>
      </c>
      <c r="W424" s="24" t="s">
        <v>194</v>
      </c>
      <c r="X424" s="24" t="s">
        <v>147</v>
      </c>
      <c r="Y424" s="24" t="s">
        <v>124</v>
      </c>
      <c r="Z424" s="24" t="s">
        <v>237</v>
      </c>
      <c r="AA424" s="24" t="s">
        <v>498</v>
      </c>
      <c r="AB424" s="7"/>
    </row>
    <row r="425" spans="1:28" ht="14.25" customHeight="1" x14ac:dyDescent="0.2">
      <c r="A425" s="114"/>
      <c r="B425" s="133"/>
      <c r="C425" s="24" t="s">
        <v>57</v>
      </c>
      <c r="D425" s="58">
        <f>D428*E425/E428</f>
        <v>39.071355789473678</v>
      </c>
      <c r="E425" s="57">
        <f>E411*E428/E414</f>
        <v>1222.5553263157892</v>
      </c>
      <c r="F425" s="24"/>
      <c r="G425" s="24"/>
      <c r="H425" s="24"/>
      <c r="I425" s="24"/>
      <c r="J425" s="24"/>
      <c r="K425" s="27"/>
      <c r="L425" s="27"/>
      <c r="M425" s="27"/>
      <c r="N425" s="27"/>
      <c r="O425" s="27"/>
      <c r="P425" s="27"/>
      <c r="Q425" s="27"/>
      <c r="R425" s="27"/>
      <c r="S425" s="24"/>
      <c r="T425" s="24"/>
      <c r="U425" s="24"/>
      <c r="V425" s="24"/>
      <c r="W425" s="24"/>
      <c r="X425" s="24"/>
      <c r="Y425" s="24"/>
      <c r="Z425" s="24"/>
      <c r="AA425" s="24"/>
      <c r="AB425" s="7"/>
    </row>
    <row r="426" spans="1:28" x14ac:dyDescent="0.2">
      <c r="A426" s="114"/>
      <c r="B426" s="133"/>
      <c r="C426" s="24" t="s">
        <v>56</v>
      </c>
      <c r="D426" s="58">
        <f>D424*E426/E424</f>
        <v>19.31658753100464</v>
      </c>
      <c r="E426" s="58">
        <f>E412*E272</f>
        <v>603.70387596899218</v>
      </c>
      <c r="F426" s="24"/>
      <c r="G426" s="24"/>
      <c r="H426" s="24"/>
      <c r="I426" s="24"/>
      <c r="J426" s="24"/>
      <c r="K426" s="24"/>
      <c r="L426" s="24"/>
      <c r="M426" s="24"/>
      <c r="N426" s="24"/>
      <c r="O426" s="24"/>
      <c r="P426" s="24"/>
      <c r="Q426" s="24"/>
      <c r="R426" s="24"/>
      <c r="S426" s="24"/>
      <c r="T426" s="24"/>
      <c r="U426" s="24"/>
      <c r="V426" s="24"/>
      <c r="W426" s="24"/>
      <c r="X426" s="24"/>
      <c r="Y426" s="24"/>
      <c r="Z426" s="24"/>
      <c r="AA426" s="24"/>
      <c r="AB426" s="7"/>
    </row>
    <row r="427" spans="1:28" x14ac:dyDescent="0.2">
      <c r="A427" s="114"/>
      <c r="B427" s="133"/>
      <c r="C427" s="24" t="s">
        <v>55</v>
      </c>
      <c r="D427" s="58">
        <f>D426*E427/E426</f>
        <v>14.897706495589413</v>
      </c>
      <c r="E427" s="58">
        <f>E413*E428/E414</f>
        <v>465.6</v>
      </c>
      <c r="F427" s="24"/>
      <c r="G427" s="24"/>
      <c r="H427" s="24"/>
      <c r="I427" s="24"/>
      <c r="J427" s="24"/>
      <c r="K427" s="24"/>
      <c r="L427" s="24"/>
      <c r="M427" s="24"/>
      <c r="N427" s="24"/>
      <c r="O427" s="24"/>
      <c r="P427" s="24"/>
      <c r="Q427" s="24"/>
      <c r="R427" s="24"/>
      <c r="S427" s="24"/>
      <c r="T427" s="24"/>
      <c r="U427" s="24"/>
      <c r="V427" s="24"/>
      <c r="W427" s="24"/>
      <c r="X427" s="24"/>
      <c r="Y427" s="24"/>
      <c r="Z427" s="24"/>
      <c r="AA427" s="24"/>
      <c r="AB427" s="19"/>
    </row>
    <row r="428" spans="1:28" x14ac:dyDescent="0.2">
      <c r="A428" s="114"/>
      <c r="B428" s="133"/>
      <c r="C428" s="71" t="s">
        <v>9</v>
      </c>
      <c r="D428" s="37">
        <v>37.200000000000003</v>
      </c>
      <c r="E428" s="37" t="s">
        <v>281</v>
      </c>
      <c r="F428" s="37" t="s">
        <v>282</v>
      </c>
      <c r="G428" s="37" t="s">
        <v>283</v>
      </c>
      <c r="H428" s="37" t="s">
        <v>284</v>
      </c>
      <c r="I428" s="37" t="s">
        <v>285</v>
      </c>
      <c r="J428" s="37" t="s">
        <v>286</v>
      </c>
      <c r="K428" s="37" t="s">
        <v>265</v>
      </c>
      <c r="L428" s="37" t="s">
        <v>251</v>
      </c>
      <c r="M428" s="37" t="s">
        <v>96</v>
      </c>
      <c r="N428" s="37" t="s">
        <v>98</v>
      </c>
      <c r="O428" s="37" t="s">
        <v>81</v>
      </c>
      <c r="P428" s="37" t="s">
        <v>68</v>
      </c>
      <c r="Q428" s="37" t="s">
        <v>86</v>
      </c>
      <c r="R428" s="37" t="s">
        <v>87</v>
      </c>
      <c r="S428" s="37" t="s">
        <v>243</v>
      </c>
      <c r="T428" s="37" t="s">
        <v>254</v>
      </c>
      <c r="U428" s="37" t="s">
        <v>72</v>
      </c>
      <c r="V428" s="37" t="s">
        <v>75</v>
      </c>
      <c r="W428" s="37" t="s">
        <v>117</v>
      </c>
      <c r="X428" s="37" t="s">
        <v>78</v>
      </c>
      <c r="Y428" s="37" t="s">
        <v>287</v>
      </c>
      <c r="Z428" s="37" t="s">
        <v>141</v>
      </c>
      <c r="AA428" s="37" t="s">
        <v>288</v>
      </c>
      <c r="AB428" s="19"/>
    </row>
    <row r="429" spans="1:28" x14ac:dyDescent="0.2">
      <c r="A429" s="114"/>
      <c r="B429" s="9"/>
      <c r="C429" s="14"/>
      <c r="D429" s="37"/>
      <c r="E429" s="37"/>
      <c r="F429" s="37"/>
      <c r="G429" s="37"/>
      <c r="H429" s="37"/>
      <c r="I429" s="37"/>
      <c r="J429" s="37"/>
      <c r="K429" s="37"/>
      <c r="L429" s="37"/>
      <c r="M429" s="37"/>
      <c r="N429" s="37"/>
      <c r="O429" s="37"/>
      <c r="P429" s="37"/>
      <c r="Q429" s="37"/>
      <c r="R429" s="37"/>
      <c r="S429" s="37"/>
      <c r="T429" s="37"/>
      <c r="U429" s="37"/>
      <c r="V429" s="37"/>
      <c r="W429" s="37"/>
      <c r="X429" s="37"/>
      <c r="Y429" s="35"/>
      <c r="Z429" s="35"/>
      <c r="AA429" s="35"/>
      <c r="AB429" s="19"/>
    </row>
    <row r="430" spans="1:28" x14ac:dyDescent="0.2">
      <c r="A430" s="114"/>
      <c r="B430" s="9"/>
      <c r="C430" s="14"/>
      <c r="D430" s="34" t="s">
        <v>105</v>
      </c>
      <c r="E430" s="101" t="s">
        <v>48</v>
      </c>
      <c r="F430" s="101" t="s">
        <v>49</v>
      </c>
      <c r="G430" s="101" t="s">
        <v>50</v>
      </c>
      <c r="H430" s="101" t="s">
        <v>51</v>
      </c>
      <c r="I430" s="101" t="s">
        <v>52</v>
      </c>
      <c r="J430" s="101" t="s">
        <v>53</v>
      </c>
      <c r="K430" s="29">
        <v>0.01</v>
      </c>
      <c r="L430" s="29">
        <v>0.05</v>
      </c>
      <c r="M430" s="29">
        <v>0.1</v>
      </c>
      <c r="N430" s="29">
        <v>0.2</v>
      </c>
      <c r="O430" s="30">
        <v>0.3</v>
      </c>
      <c r="P430" s="30">
        <v>0.4</v>
      </c>
      <c r="Q430" s="30">
        <v>0.5</v>
      </c>
      <c r="R430" s="30">
        <v>0.6</v>
      </c>
      <c r="S430" s="30">
        <v>0.7</v>
      </c>
      <c r="T430" s="30">
        <v>0.8</v>
      </c>
      <c r="U430" s="30">
        <v>0.9</v>
      </c>
      <c r="V430" s="30">
        <v>0.95</v>
      </c>
      <c r="W430" s="30">
        <v>0.99</v>
      </c>
      <c r="X430" s="29">
        <v>0.995</v>
      </c>
      <c r="Y430" s="29">
        <v>0.999</v>
      </c>
      <c r="Z430" s="29">
        <v>0.99950000000000006</v>
      </c>
      <c r="AA430" s="29">
        <v>0.99990000000000001</v>
      </c>
      <c r="AB430" s="19"/>
    </row>
    <row r="431" spans="1:28" x14ac:dyDescent="0.2">
      <c r="A431" s="114"/>
      <c r="B431" s="133" t="s">
        <v>249</v>
      </c>
      <c r="C431" s="41" t="s">
        <v>54</v>
      </c>
      <c r="D431" s="24">
        <v>45.3</v>
      </c>
      <c r="E431" s="24" t="s">
        <v>607</v>
      </c>
      <c r="F431" s="24" t="s">
        <v>608</v>
      </c>
      <c r="G431" s="24" t="s">
        <v>93</v>
      </c>
      <c r="H431" s="24" t="s">
        <v>609</v>
      </c>
      <c r="I431" s="24" t="s">
        <v>610</v>
      </c>
      <c r="J431" s="24"/>
      <c r="K431" s="24" t="s">
        <v>251</v>
      </c>
      <c r="L431" s="24" t="s">
        <v>98</v>
      </c>
      <c r="M431" s="24" t="s">
        <v>241</v>
      </c>
      <c r="N431" s="24" t="s">
        <v>81</v>
      </c>
      <c r="O431" s="24" t="s">
        <v>68</v>
      </c>
      <c r="P431" s="24" t="s">
        <v>87</v>
      </c>
      <c r="Q431" s="24" t="s">
        <v>89</v>
      </c>
      <c r="R431" s="24" t="s">
        <v>242</v>
      </c>
      <c r="S431" s="24" t="s">
        <v>243</v>
      </c>
      <c r="T431" s="24" t="s">
        <v>244</v>
      </c>
      <c r="U431" s="24" t="s">
        <v>456</v>
      </c>
      <c r="V431" s="24" t="s">
        <v>73</v>
      </c>
      <c r="W431" s="24" t="s">
        <v>193</v>
      </c>
      <c r="X431" s="24" t="s">
        <v>110</v>
      </c>
      <c r="Y431" s="24" t="s">
        <v>148</v>
      </c>
      <c r="Z431" s="24" t="s">
        <v>217</v>
      </c>
      <c r="AA431" s="24" t="s">
        <v>409</v>
      </c>
      <c r="AB431" s="19"/>
    </row>
    <row r="432" spans="1:28" ht="14.25" customHeight="1" x14ac:dyDescent="0.2">
      <c r="A432" s="114"/>
      <c r="B432" s="133"/>
      <c r="C432" s="24" t="s">
        <v>57</v>
      </c>
      <c r="D432" s="58">
        <f>D431*E432/E431</f>
        <v>45.811864406779662</v>
      </c>
      <c r="E432" s="24">
        <v>1432</v>
      </c>
      <c r="F432" s="24"/>
      <c r="G432" s="24"/>
      <c r="H432" s="24"/>
      <c r="I432" s="24"/>
      <c r="J432" s="24"/>
      <c r="K432" s="27"/>
      <c r="L432" s="27"/>
      <c r="M432" s="27"/>
      <c r="N432" s="27"/>
      <c r="O432" s="27"/>
      <c r="P432" s="27"/>
      <c r="Q432" s="27"/>
      <c r="R432" s="27"/>
      <c r="S432" s="24"/>
      <c r="T432" s="24"/>
      <c r="U432" s="24"/>
      <c r="V432" s="24"/>
      <c r="W432" s="24"/>
      <c r="X432" s="24"/>
      <c r="Y432" s="24"/>
      <c r="Z432" s="24"/>
      <c r="AA432" s="24"/>
      <c r="AB432" s="19"/>
    </row>
    <row r="433" spans="1:28" x14ac:dyDescent="0.2">
      <c r="A433" s="114"/>
      <c r="B433" s="133"/>
      <c r="C433" s="24" t="s">
        <v>56</v>
      </c>
      <c r="D433" s="58">
        <f>D431*E433/E431</f>
        <v>22.786348377348574</v>
      </c>
      <c r="E433" s="58">
        <f>E412*E273</f>
        <v>712.262015503876</v>
      </c>
      <c r="F433" s="24"/>
      <c r="G433" s="24"/>
      <c r="H433" s="24"/>
      <c r="I433" s="24"/>
      <c r="J433" s="24"/>
      <c r="K433" s="24"/>
      <c r="L433" s="24"/>
      <c r="M433" s="24"/>
      <c r="N433" s="24"/>
      <c r="O433" s="24"/>
      <c r="P433" s="24"/>
      <c r="Q433" s="24"/>
      <c r="R433" s="24"/>
      <c r="S433" s="24"/>
      <c r="T433" s="24"/>
      <c r="U433" s="24"/>
      <c r="V433" s="24"/>
      <c r="W433" s="24"/>
      <c r="X433" s="24"/>
      <c r="Y433" s="24"/>
      <c r="Z433" s="24"/>
      <c r="AA433" s="24"/>
      <c r="AB433" s="19"/>
    </row>
    <row r="434" spans="1:28" x14ac:dyDescent="0.2">
      <c r="A434" s="114"/>
      <c r="B434" s="133"/>
      <c r="C434" s="24" t="s">
        <v>55</v>
      </c>
      <c r="D434" s="58">
        <f>D435*E434/E435</f>
        <v>15.36</v>
      </c>
      <c r="E434" s="58">
        <f>E413*E435/E414</f>
        <v>480</v>
      </c>
      <c r="F434" s="24"/>
      <c r="G434" s="24"/>
      <c r="H434" s="24"/>
      <c r="I434" s="24"/>
      <c r="J434" s="24"/>
      <c r="K434" s="24"/>
      <c r="L434" s="24"/>
      <c r="M434" s="24"/>
      <c r="N434" s="24"/>
      <c r="O434" s="24"/>
      <c r="P434" s="24"/>
      <c r="Q434" s="24"/>
      <c r="R434" s="24"/>
      <c r="S434" s="24"/>
      <c r="T434" s="24"/>
      <c r="U434" s="24"/>
      <c r="V434" s="24"/>
      <c r="W434" s="24"/>
      <c r="X434" s="24"/>
      <c r="Y434" s="24"/>
      <c r="Z434" s="24"/>
      <c r="AA434" s="24"/>
      <c r="AB434" s="19"/>
    </row>
    <row r="435" spans="1:28" x14ac:dyDescent="0.2">
      <c r="A435" s="114"/>
      <c r="B435" s="133"/>
      <c r="C435" s="24" t="s">
        <v>9</v>
      </c>
      <c r="D435" s="44">
        <v>38.4</v>
      </c>
      <c r="E435" s="44" t="s">
        <v>289</v>
      </c>
      <c r="F435" s="44" t="s">
        <v>290</v>
      </c>
      <c r="G435" s="44" t="s">
        <v>257</v>
      </c>
      <c r="H435" s="44" t="s">
        <v>291</v>
      </c>
      <c r="I435" s="44" t="s">
        <v>292</v>
      </c>
      <c r="J435" s="44" t="s">
        <v>293</v>
      </c>
      <c r="K435" s="44" t="s">
        <v>268</v>
      </c>
      <c r="L435" s="44" t="s">
        <v>97</v>
      </c>
      <c r="M435" s="44" t="s">
        <v>98</v>
      </c>
      <c r="N435" s="44" t="s">
        <v>241</v>
      </c>
      <c r="O435" s="44" t="s">
        <v>81</v>
      </c>
      <c r="P435" s="44" t="s">
        <v>68</v>
      </c>
      <c r="Q435" s="44" t="s">
        <v>86</v>
      </c>
      <c r="R435" s="44" t="s">
        <v>88</v>
      </c>
      <c r="S435" s="44" t="s">
        <v>243</v>
      </c>
      <c r="T435" s="44" t="s">
        <v>244</v>
      </c>
      <c r="U435" s="44" t="s">
        <v>71</v>
      </c>
      <c r="V435" s="44" t="s">
        <v>255</v>
      </c>
      <c r="W435" s="44" t="s">
        <v>223</v>
      </c>
      <c r="X435" s="44" t="s">
        <v>109</v>
      </c>
      <c r="Y435" s="44" t="s">
        <v>151</v>
      </c>
      <c r="Z435" s="44" t="s">
        <v>294</v>
      </c>
      <c r="AA435" s="44" t="s">
        <v>295</v>
      </c>
      <c r="AB435" s="19"/>
    </row>
    <row r="436" spans="1:28" x14ac:dyDescent="0.2">
      <c r="A436" s="114"/>
      <c r="B436" s="9"/>
      <c r="C436" s="14"/>
      <c r="D436" s="45"/>
      <c r="E436" s="45"/>
      <c r="F436" s="45"/>
      <c r="G436" s="45"/>
      <c r="H436" s="45"/>
      <c r="I436" s="45"/>
      <c r="J436" s="45"/>
      <c r="K436" s="45"/>
      <c r="L436" s="45"/>
      <c r="M436" s="45"/>
      <c r="N436" s="45"/>
      <c r="O436" s="45"/>
      <c r="P436" s="45"/>
      <c r="Q436" s="45"/>
      <c r="R436" s="45"/>
      <c r="S436" s="45"/>
      <c r="T436" s="45"/>
      <c r="U436" s="45"/>
      <c r="V436" s="45"/>
      <c r="W436" s="45"/>
      <c r="X436" s="45"/>
      <c r="Y436" s="45"/>
      <c r="Z436" s="45"/>
      <c r="AA436" s="45"/>
      <c r="AB436" s="19"/>
    </row>
    <row r="437" spans="1:28" x14ac:dyDescent="0.2">
      <c r="A437" s="114"/>
      <c r="B437" s="9"/>
      <c r="C437" s="14"/>
      <c r="D437" s="45"/>
      <c r="E437" s="45"/>
      <c r="F437" s="45"/>
      <c r="G437" s="45"/>
      <c r="H437" s="45"/>
      <c r="I437" s="45"/>
      <c r="J437" s="45"/>
      <c r="K437" s="45"/>
      <c r="L437" s="45"/>
      <c r="M437" s="45"/>
      <c r="N437" s="45"/>
      <c r="O437" s="45"/>
      <c r="P437" s="45"/>
      <c r="Q437" s="45"/>
      <c r="R437" s="45"/>
      <c r="S437" s="45"/>
      <c r="T437" s="45"/>
      <c r="U437" s="45"/>
      <c r="V437" s="45"/>
      <c r="W437" s="45"/>
      <c r="X437" s="45"/>
      <c r="AB437" s="19"/>
    </row>
    <row r="438" spans="1:28" x14ac:dyDescent="0.2">
      <c r="A438" s="114"/>
      <c r="B438" s="103"/>
      <c r="C438" s="99"/>
      <c r="D438" s="100" t="s">
        <v>105</v>
      </c>
      <c r="E438" s="100" t="s">
        <v>48</v>
      </c>
      <c r="F438" s="100" t="s">
        <v>49</v>
      </c>
      <c r="G438" s="100" t="s">
        <v>50</v>
      </c>
      <c r="H438" s="100" t="s">
        <v>51</v>
      </c>
      <c r="I438" s="100" t="s">
        <v>52</v>
      </c>
      <c r="J438" s="100" t="s">
        <v>53</v>
      </c>
      <c r="K438" s="66">
        <v>0.01</v>
      </c>
      <c r="L438" s="66">
        <v>0.05</v>
      </c>
      <c r="M438" s="66">
        <v>0.1</v>
      </c>
      <c r="N438" s="66">
        <v>0.2</v>
      </c>
      <c r="O438" s="73">
        <v>0.3</v>
      </c>
      <c r="P438" s="73">
        <v>0.4</v>
      </c>
      <c r="Q438" s="73">
        <v>0.5</v>
      </c>
      <c r="R438" s="73">
        <v>0.6</v>
      </c>
      <c r="S438" s="73">
        <v>0.7</v>
      </c>
      <c r="T438" s="73">
        <v>0.8</v>
      </c>
      <c r="U438" s="73">
        <v>0.9</v>
      </c>
      <c r="V438" s="73">
        <v>0.95</v>
      </c>
      <c r="W438" s="73">
        <v>0.99</v>
      </c>
      <c r="X438" s="66">
        <v>0.995</v>
      </c>
      <c r="Y438" s="66">
        <v>0.999</v>
      </c>
      <c r="Z438" s="66">
        <v>0.99950000000000006</v>
      </c>
      <c r="AA438" s="66">
        <v>0.99990000000000001</v>
      </c>
      <c r="AB438" s="19"/>
    </row>
    <row r="439" spans="1:28" x14ac:dyDescent="0.2">
      <c r="A439" s="114"/>
      <c r="B439" s="123" t="s">
        <v>259</v>
      </c>
      <c r="C439" s="84" t="s">
        <v>54</v>
      </c>
      <c r="D439" s="84">
        <v>33.6</v>
      </c>
      <c r="E439" s="84" t="s">
        <v>611</v>
      </c>
      <c r="F439" s="84" t="s">
        <v>612</v>
      </c>
      <c r="G439" s="84" t="s">
        <v>94</v>
      </c>
      <c r="H439" s="84" t="s">
        <v>484</v>
      </c>
      <c r="I439" s="84" t="s">
        <v>613</v>
      </c>
      <c r="J439" s="84"/>
      <c r="K439" s="84" t="s">
        <v>251</v>
      </c>
      <c r="L439" s="84" t="s">
        <v>97</v>
      </c>
      <c r="M439" s="84" t="s">
        <v>97</v>
      </c>
      <c r="N439" s="84" t="s">
        <v>97</v>
      </c>
      <c r="O439" s="84" t="s">
        <v>98</v>
      </c>
      <c r="P439" s="84" t="s">
        <v>82</v>
      </c>
      <c r="Q439" s="84" t="s">
        <v>241</v>
      </c>
      <c r="R439" s="84" t="s">
        <v>68</v>
      </c>
      <c r="S439" s="84" t="s">
        <v>88</v>
      </c>
      <c r="T439" s="84" t="s">
        <v>89</v>
      </c>
      <c r="U439" s="84" t="s">
        <v>242</v>
      </c>
      <c r="V439" s="84" t="s">
        <v>243</v>
      </c>
      <c r="W439" s="84" t="s">
        <v>75</v>
      </c>
      <c r="X439" s="84" t="s">
        <v>233</v>
      </c>
      <c r="Y439" s="84" t="s">
        <v>112</v>
      </c>
      <c r="Z439" s="84" t="s">
        <v>207</v>
      </c>
      <c r="AA439" s="84" t="s">
        <v>484</v>
      </c>
      <c r="AB439" s="19"/>
    </row>
    <row r="440" spans="1:28" ht="14.25" customHeight="1" x14ac:dyDescent="0.2">
      <c r="A440" s="114"/>
      <c r="B440" s="123"/>
      <c r="C440" s="84" t="s">
        <v>57</v>
      </c>
      <c r="D440" s="90">
        <f>D439*1.1196234</f>
        <v>37.619346240000006</v>
      </c>
      <c r="E440" s="38">
        <f>E439*1.1196234</f>
        <v>1174.4849466000001</v>
      </c>
      <c r="F440" s="84"/>
      <c r="G440" s="84"/>
      <c r="H440" s="84"/>
      <c r="I440" s="84"/>
      <c r="J440" s="84"/>
      <c r="K440" s="84" t="s">
        <v>95</v>
      </c>
      <c r="L440" s="84" t="s">
        <v>251</v>
      </c>
      <c r="M440" s="84" t="s">
        <v>251</v>
      </c>
      <c r="N440" s="84" t="s">
        <v>96</v>
      </c>
      <c r="O440" s="84" t="s">
        <v>97</v>
      </c>
      <c r="P440" s="84" t="s">
        <v>98</v>
      </c>
      <c r="Q440" s="84" t="s">
        <v>98</v>
      </c>
      <c r="R440" s="84" t="s">
        <v>81</v>
      </c>
      <c r="S440" s="84" t="s">
        <v>86</v>
      </c>
      <c r="T440" s="84" t="s">
        <v>86</v>
      </c>
      <c r="U440" s="84" t="s">
        <v>87</v>
      </c>
      <c r="V440" s="84" t="s">
        <v>88</v>
      </c>
      <c r="W440" s="84" t="s">
        <v>72</v>
      </c>
      <c r="X440" s="84" t="s">
        <v>75</v>
      </c>
      <c r="Y440" s="84" t="s">
        <v>193</v>
      </c>
      <c r="Z440" s="84" t="s">
        <v>112</v>
      </c>
      <c r="AA440" s="84" t="s">
        <v>476</v>
      </c>
      <c r="AB440" s="19"/>
    </row>
    <row r="441" spans="1:28" x14ac:dyDescent="0.2">
      <c r="A441" s="114"/>
      <c r="B441" s="123"/>
      <c r="C441" s="84" t="s">
        <v>56</v>
      </c>
      <c r="D441" s="90">
        <f>D439*E441/E439</f>
        <v>5.922440419447093</v>
      </c>
      <c r="E441" s="84">
        <v>184.9</v>
      </c>
      <c r="F441" s="84"/>
      <c r="G441" s="84"/>
      <c r="H441" s="84"/>
      <c r="I441" s="84"/>
      <c r="J441" s="84"/>
      <c r="K441" s="38">
        <f>K61*E61/E441</f>
        <v>204.41319632233584</v>
      </c>
      <c r="L441" s="38">
        <f>L61*E61/E441</f>
        <v>222.99621416982092</v>
      </c>
      <c r="M441" s="38">
        <f>M61*E61/E441</f>
        <v>222.99621416982092</v>
      </c>
      <c r="N441" s="38">
        <f>N61*E61/E441</f>
        <v>222.99621416982092</v>
      </c>
      <c r="O441" s="38">
        <f>O61*E61/E441</f>
        <v>232.28772309356341</v>
      </c>
      <c r="P441" s="38">
        <f>P61*E61/E441</f>
        <v>241.57923201730597</v>
      </c>
      <c r="Q441" s="38">
        <f>Q61*E61/E441</f>
        <v>250.87074094104855</v>
      </c>
      <c r="R441" s="38">
        <f>R61*E61/E441</f>
        <v>269.45375878853361</v>
      </c>
      <c r="S441" s="38">
        <f>S61*E61/E441</f>
        <v>297.32828555976118</v>
      </c>
      <c r="T441" s="38">
        <f>T61*E61/E441</f>
        <v>365.43537047052462</v>
      </c>
      <c r="U441" s="38">
        <f>U61*E61/E441</f>
        <v>466.74418604651163</v>
      </c>
      <c r="V441" s="38">
        <f>V61*E61/E441</f>
        <v>658.50730124391566</v>
      </c>
      <c r="W441" s="38">
        <f>W61*E61/E441</f>
        <v>720.01622498647919</v>
      </c>
      <c r="X441" s="38">
        <f>X61*E61/E441</f>
        <v>741.72525689561928</v>
      </c>
      <c r="Y441" s="38">
        <f>Y61*E61/E441</f>
        <v>929.8702001081665</v>
      </c>
      <c r="Z441" s="38">
        <f>Z61*E61/E441</f>
        <v>2373.5208220659815</v>
      </c>
      <c r="AA441" s="38">
        <f>AA61*E61/E441</f>
        <v>3261.3196322336307</v>
      </c>
      <c r="AB441" s="19"/>
    </row>
    <row r="442" spans="1:28" x14ac:dyDescent="0.2">
      <c r="A442" s="114"/>
      <c r="B442" s="123"/>
      <c r="C442" s="84" t="s">
        <v>55</v>
      </c>
      <c r="D442" s="90">
        <f>D443*E442/E443</f>
        <v>18.231999999999999</v>
      </c>
      <c r="E442" s="38">
        <f>E443*0.53</f>
        <v>570.28</v>
      </c>
      <c r="F442" s="84"/>
      <c r="G442" s="84"/>
      <c r="H442" s="84"/>
      <c r="I442" s="84"/>
      <c r="J442" s="84"/>
      <c r="K442" s="84" t="s">
        <v>96</v>
      </c>
      <c r="L442" s="84" t="s">
        <v>81</v>
      </c>
      <c r="M442" s="84" t="s">
        <v>87</v>
      </c>
      <c r="N442" s="84" t="s">
        <v>252</v>
      </c>
      <c r="O442" s="84" t="s">
        <v>73</v>
      </c>
      <c r="P442" s="84" t="s">
        <v>342</v>
      </c>
      <c r="Q442" s="84" t="s">
        <v>131</v>
      </c>
      <c r="R442" s="84" t="s">
        <v>132</v>
      </c>
      <c r="S442" s="84" t="s">
        <v>327</v>
      </c>
      <c r="T442" s="84" t="s">
        <v>140</v>
      </c>
      <c r="U442" s="84" t="s">
        <v>232</v>
      </c>
      <c r="V442" s="84" t="s">
        <v>100</v>
      </c>
      <c r="W442" s="84" t="s">
        <v>403</v>
      </c>
      <c r="X442" s="84" t="s">
        <v>356</v>
      </c>
      <c r="Y442" s="84" t="s">
        <v>484</v>
      </c>
      <c r="Z442" s="84" t="s">
        <v>104</v>
      </c>
      <c r="AA442" s="84" t="s">
        <v>761</v>
      </c>
      <c r="AB442" s="19"/>
    </row>
    <row r="443" spans="1:28" x14ac:dyDescent="0.2">
      <c r="A443" s="114"/>
      <c r="B443" s="124"/>
      <c r="C443" s="50" t="s">
        <v>9</v>
      </c>
      <c r="D443" s="50">
        <v>34.4</v>
      </c>
      <c r="E443" s="50" t="s">
        <v>296</v>
      </c>
      <c r="F443" s="50" t="s">
        <v>297</v>
      </c>
      <c r="G443" s="50" t="s">
        <v>265</v>
      </c>
      <c r="H443" s="50" t="s">
        <v>298</v>
      </c>
      <c r="I443" s="50" t="s">
        <v>299</v>
      </c>
      <c r="J443" s="50" t="s">
        <v>300</v>
      </c>
      <c r="K443" s="50" t="s">
        <v>95</v>
      </c>
      <c r="L443" s="50" t="s">
        <v>251</v>
      </c>
      <c r="M443" s="50" t="s">
        <v>97</v>
      </c>
      <c r="N443" s="50" t="s">
        <v>98</v>
      </c>
      <c r="O443" s="50" t="s">
        <v>98</v>
      </c>
      <c r="P443" s="50" t="s">
        <v>82</v>
      </c>
      <c r="Q443" s="50" t="s">
        <v>241</v>
      </c>
      <c r="R443" s="50" t="s">
        <v>81</v>
      </c>
      <c r="S443" s="50" t="s">
        <v>68</v>
      </c>
      <c r="T443" s="50" t="s">
        <v>86</v>
      </c>
      <c r="U443" s="50" t="s">
        <v>242</v>
      </c>
      <c r="V443" s="50" t="s">
        <v>254</v>
      </c>
      <c r="W443" s="50" t="s">
        <v>301</v>
      </c>
      <c r="X443" s="50" t="s">
        <v>223</v>
      </c>
      <c r="Y443" s="84" t="s">
        <v>114</v>
      </c>
      <c r="Z443" s="84" t="s">
        <v>165</v>
      </c>
      <c r="AA443" s="84" t="s">
        <v>99</v>
      </c>
      <c r="AB443" s="19"/>
    </row>
    <row r="444" spans="1:28" s="7" customFormat="1" x14ac:dyDescent="0.2">
      <c r="A444" s="114"/>
      <c r="B444" s="103"/>
      <c r="Y444" s="67"/>
      <c r="Z444" s="67"/>
      <c r="AA444" s="67"/>
    </row>
    <row r="445" spans="1:28" x14ac:dyDescent="0.2">
      <c r="A445" s="114"/>
      <c r="B445" s="103"/>
      <c r="C445" s="99"/>
      <c r="D445" s="100" t="s">
        <v>105</v>
      </c>
      <c r="E445" s="100" t="s">
        <v>48</v>
      </c>
      <c r="F445" s="100" t="s">
        <v>49</v>
      </c>
      <c r="G445" s="100" t="s">
        <v>50</v>
      </c>
      <c r="H445" s="100" t="s">
        <v>51</v>
      </c>
      <c r="I445" s="100" t="s">
        <v>52</v>
      </c>
      <c r="J445" s="100" t="s">
        <v>53</v>
      </c>
      <c r="K445" s="66">
        <v>0.01</v>
      </c>
      <c r="L445" s="66">
        <v>0.05</v>
      </c>
      <c r="M445" s="66">
        <v>0.1</v>
      </c>
      <c r="N445" s="66">
        <v>0.2</v>
      </c>
      <c r="O445" s="73">
        <v>0.3</v>
      </c>
      <c r="P445" s="73">
        <v>0.4</v>
      </c>
      <c r="Q445" s="73">
        <v>0.5</v>
      </c>
      <c r="R445" s="73">
        <v>0.6</v>
      </c>
      <c r="S445" s="73">
        <v>0.7</v>
      </c>
      <c r="T445" s="73">
        <v>0.8</v>
      </c>
      <c r="U445" s="73">
        <v>0.9</v>
      </c>
      <c r="V445" s="73">
        <v>0.95</v>
      </c>
      <c r="W445" s="73">
        <v>0.99</v>
      </c>
      <c r="X445" s="66">
        <v>0.995</v>
      </c>
      <c r="Y445" s="75">
        <v>0.999</v>
      </c>
      <c r="Z445" s="75">
        <v>0.99950000000000006</v>
      </c>
      <c r="AA445" s="75">
        <v>0.99990000000000001</v>
      </c>
      <c r="AB445" s="19"/>
    </row>
    <row r="446" spans="1:28" x14ac:dyDescent="0.2">
      <c r="A446" s="114"/>
      <c r="B446" s="123" t="s">
        <v>260</v>
      </c>
      <c r="C446" s="84" t="s">
        <v>54</v>
      </c>
      <c r="D446" s="84">
        <v>50.4</v>
      </c>
      <c r="E446" s="84" t="s">
        <v>629</v>
      </c>
      <c r="F446" s="84" t="s">
        <v>630</v>
      </c>
      <c r="G446" s="84" t="s">
        <v>250</v>
      </c>
      <c r="H446" s="84" t="s">
        <v>631</v>
      </c>
      <c r="I446" s="84" t="s">
        <v>632</v>
      </c>
      <c r="J446" s="84" t="s">
        <v>633</v>
      </c>
      <c r="K446" s="84" t="s">
        <v>98</v>
      </c>
      <c r="L446" s="84" t="s">
        <v>68</v>
      </c>
      <c r="M446" s="84" t="s">
        <v>88</v>
      </c>
      <c r="N446" s="84" t="s">
        <v>252</v>
      </c>
      <c r="O446" s="84" t="s">
        <v>69</v>
      </c>
      <c r="P446" s="84" t="s">
        <v>456</v>
      </c>
      <c r="Q446" s="84" t="s">
        <v>73</v>
      </c>
      <c r="R446" s="84" t="s">
        <v>301</v>
      </c>
      <c r="S446" s="84" t="s">
        <v>233</v>
      </c>
      <c r="T446" s="84" t="s">
        <v>181</v>
      </c>
      <c r="U446" s="84" t="s">
        <v>114</v>
      </c>
      <c r="V446" s="84" t="s">
        <v>166</v>
      </c>
      <c r="W446" s="84" t="s">
        <v>342</v>
      </c>
      <c r="X446" s="84" t="s">
        <v>327</v>
      </c>
      <c r="Y446" s="46" t="s">
        <v>196</v>
      </c>
      <c r="Z446" s="46" t="s">
        <v>527</v>
      </c>
      <c r="AA446" s="46" t="s">
        <v>634</v>
      </c>
      <c r="AB446" s="19"/>
    </row>
    <row r="447" spans="1:28" ht="14.25" customHeight="1" x14ac:dyDescent="0.2">
      <c r="A447" s="114"/>
      <c r="B447" s="123"/>
      <c r="C447" s="84" t="s">
        <v>57</v>
      </c>
      <c r="D447" s="90">
        <f>D446*E447/E446</f>
        <v>52.257179161372299</v>
      </c>
      <c r="E447" s="84">
        <f>1632</f>
        <v>1632</v>
      </c>
      <c r="F447" s="84"/>
      <c r="G447" s="84"/>
      <c r="H447" s="84"/>
      <c r="I447" s="84"/>
      <c r="J447" s="84"/>
      <c r="K447" s="84"/>
      <c r="L447" s="84"/>
      <c r="M447" s="84"/>
      <c r="N447" s="84"/>
      <c r="O447" s="84"/>
      <c r="P447" s="84"/>
      <c r="Q447" s="84"/>
      <c r="R447" s="84"/>
      <c r="S447" s="84"/>
      <c r="T447" s="84"/>
      <c r="U447" s="84"/>
      <c r="V447" s="84"/>
      <c r="W447" s="84"/>
      <c r="X447" s="84"/>
      <c r="Y447" s="84"/>
      <c r="Z447" s="84"/>
      <c r="AA447" s="84"/>
      <c r="AB447" s="19"/>
    </row>
    <row r="448" spans="1:28" x14ac:dyDescent="0.2">
      <c r="A448" s="114"/>
      <c r="B448" s="123"/>
      <c r="C448" s="84" t="s">
        <v>56</v>
      </c>
      <c r="D448" s="90">
        <f>D446*E448/E446</f>
        <v>18.355589138548435</v>
      </c>
      <c r="E448" s="90">
        <f>E441*E275</f>
        <v>573.24796238244517</v>
      </c>
      <c r="F448" s="84"/>
      <c r="G448" s="84"/>
      <c r="H448" s="84"/>
      <c r="I448" s="84"/>
      <c r="J448" s="84"/>
      <c r="K448" s="84"/>
      <c r="L448" s="84"/>
      <c r="M448" s="84"/>
      <c r="N448" s="84"/>
      <c r="O448" s="84"/>
      <c r="P448" s="84"/>
      <c r="Q448" s="84"/>
      <c r="R448" s="84"/>
      <c r="S448" s="84"/>
      <c r="T448" s="84"/>
      <c r="U448" s="84"/>
      <c r="V448" s="84"/>
      <c r="W448" s="84"/>
      <c r="X448" s="84"/>
      <c r="Y448" s="84"/>
      <c r="Z448" s="84"/>
      <c r="AA448" s="84"/>
      <c r="AB448" s="19"/>
    </row>
    <row r="449" spans="1:28" x14ac:dyDescent="0.2">
      <c r="A449" s="114"/>
      <c r="B449" s="123"/>
      <c r="C449" s="84" t="s">
        <v>55</v>
      </c>
      <c r="D449" s="90">
        <f>D450*E449/E450</f>
        <v>23.372999999999998</v>
      </c>
      <c r="E449" s="90">
        <f>E442*E450/E443</f>
        <v>730.33999999999992</v>
      </c>
      <c r="F449" s="84"/>
      <c r="G449" s="84"/>
      <c r="H449" s="84"/>
      <c r="I449" s="84"/>
      <c r="J449" s="84"/>
      <c r="K449" s="84"/>
      <c r="L449" s="84"/>
      <c r="M449" s="84"/>
      <c r="N449" s="84"/>
      <c r="O449" s="84"/>
      <c r="P449" s="84"/>
      <c r="Q449" s="84"/>
      <c r="R449" s="84"/>
      <c r="S449" s="84"/>
      <c r="T449" s="84"/>
      <c r="U449" s="84"/>
      <c r="V449" s="84"/>
      <c r="W449" s="84"/>
      <c r="X449" s="84"/>
      <c r="Y449" s="84"/>
      <c r="Z449" s="84"/>
      <c r="AA449" s="84"/>
      <c r="AB449" s="19"/>
    </row>
    <row r="450" spans="1:28" x14ac:dyDescent="0.2">
      <c r="A450" s="114"/>
      <c r="B450" s="123"/>
      <c r="C450" s="50" t="s">
        <v>9</v>
      </c>
      <c r="D450" s="50">
        <v>44.1</v>
      </c>
      <c r="E450" s="50" t="s">
        <v>302</v>
      </c>
      <c r="F450" s="50" t="s">
        <v>303</v>
      </c>
      <c r="G450" s="50" t="s">
        <v>257</v>
      </c>
      <c r="H450" s="50" t="s">
        <v>304</v>
      </c>
      <c r="I450" s="50" t="s">
        <v>305</v>
      </c>
      <c r="J450" s="50" t="s">
        <v>306</v>
      </c>
      <c r="K450" s="50" t="s">
        <v>95</v>
      </c>
      <c r="L450" s="50" t="s">
        <v>98</v>
      </c>
      <c r="M450" s="50" t="s">
        <v>241</v>
      </c>
      <c r="N450" s="50" t="s">
        <v>68</v>
      </c>
      <c r="O450" s="50" t="s">
        <v>87</v>
      </c>
      <c r="P450" s="50" t="s">
        <v>88</v>
      </c>
      <c r="Q450" s="50" t="s">
        <v>242</v>
      </c>
      <c r="R450" s="50" t="s">
        <v>243</v>
      </c>
      <c r="S450" s="50" t="s">
        <v>244</v>
      </c>
      <c r="T450" s="50" t="s">
        <v>69</v>
      </c>
      <c r="U450" s="50" t="s">
        <v>255</v>
      </c>
      <c r="V450" s="50" t="s">
        <v>307</v>
      </c>
      <c r="W450" s="50" t="s">
        <v>146</v>
      </c>
      <c r="X450" s="50" t="s">
        <v>168</v>
      </c>
      <c r="Y450" s="84" t="s">
        <v>239</v>
      </c>
      <c r="Z450" s="84" t="s">
        <v>278</v>
      </c>
      <c r="AA450" s="84" t="s">
        <v>308</v>
      </c>
      <c r="AB450" s="19"/>
    </row>
    <row r="451" spans="1:28" s="7" customFormat="1" x14ac:dyDescent="0.2">
      <c r="A451" s="114"/>
      <c r="B451" s="103"/>
      <c r="Y451" s="67"/>
      <c r="Z451" s="67"/>
      <c r="AA451" s="67"/>
    </row>
    <row r="452" spans="1:28" x14ac:dyDescent="0.2">
      <c r="A452" s="114"/>
      <c r="B452" s="103"/>
      <c r="C452" s="99"/>
      <c r="D452" s="100" t="s">
        <v>105</v>
      </c>
      <c r="E452" s="100" t="s">
        <v>48</v>
      </c>
      <c r="F452" s="100" t="s">
        <v>49</v>
      </c>
      <c r="G452" s="100" t="s">
        <v>50</v>
      </c>
      <c r="H452" s="100" t="s">
        <v>51</v>
      </c>
      <c r="I452" s="100" t="s">
        <v>52</v>
      </c>
      <c r="J452" s="100" t="s">
        <v>53</v>
      </c>
      <c r="K452" s="66">
        <v>0.01</v>
      </c>
      <c r="L452" s="66">
        <v>0.05</v>
      </c>
      <c r="M452" s="66">
        <v>0.1</v>
      </c>
      <c r="N452" s="66">
        <v>0.2</v>
      </c>
      <c r="O452" s="73">
        <v>0.3</v>
      </c>
      <c r="P452" s="73">
        <v>0.4</v>
      </c>
      <c r="Q452" s="73">
        <v>0.5</v>
      </c>
      <c r="R452" s="73">
        <v>0.6</v>
      </c>
      <c r="S452" s="73">
        <v>0.7</v>
      </c>
      <c r="T452" s="73">
        <v>0.8</v>
      </c>
      <c r="U452" s="73">
        <v>0.9</v>
      </c>
      <c r="V452" s="73">
        <v>0.95</v>
      </c>
      <c r="W452" s="73">
        <v>0.99</v>
      </c>
      <c r="X452" s="66">
        <v>0.995</v>
      </c>
      <c r="Y452" s="75">
        <v>0.999</v>
      </c>
      <c r="Z452" s="75">
        <v>0.99950000000000006</v>
      </c>
      <c r="AA452" s="75">
        <v>0.99990000000000001</v>
      </c>
      <c r="AB452" s="19"/>
    </row>
    <row r="453" spans="1:28" x14ac:dyDescent="0.2">
      <c r="A453" s="114"/>
      <c r="B453" s="123" t="s">
        <v>261</v>
      </c>
      <c r="C453" s="84" t="s">
        <v>54</v>
      </c>
      <c r="D453" s="84" t="s">
        <v>223</v>
      </c>
      <c r="E453" s="84" t="s">
        <v>614</v>
      </c>
      <c r="F453" s="84" t="s">
        <v>615</v>
      </c>
      <c r="G453" s="84" t="s">
        <v>93</v>
      </c>
      <c r="H453" s="84" t="s">
        <v>616</v>
      </c>
      <c r="I453" s="84" t="s">
        <v>617</v>
      </c>
      <c r="J453" s="84" t="s">
        <v>618</v>
      </c>
      <c r="K453" s="84" t="s">
        <v>86</v>
      </c>
      <c r="L453" s="84" t="s">
        <v>69</v>
      </c>
      <c r="M453" s="84" t="s">
        <v>255</v>
      </c>
      <c r="N453" s="84" t="s">
        <v>307</v>
      </c>
      <c r="O453" s="84" t="s">
        <v>76</v>
      </c>
      <c r="P453" s="84" t="s">
        <v>109</v>
      </c>
      <c r="Q453" s="84" t="s">
        <v>145</v>
      </c>
      <c r="R453" s="84" t="s">
        <v>148</v>
      </c>
      <c r="S453" s="84" t="s">
        <v>218</v>
      </c>
      <c r="T453" s="84" t="s">
        <v>127</v>
      </c>
      <c r="U453" s="84" t="s">
        <v>153</v>
      </c>
      <c r="V453" s="84" t="s">
        <v>278</v>
      </c>
      <c r="W453" s="84" t="s">
        <v>417</v>
      </c>
      <c r="X453" s="84" t="s">
        <v>484</v>
      </c>
      <c r="Y453" s="46" t="s">
        <v>619</v>
      </c>
      <c r="Z453" s="46" t="s">
        <v>324</v>
      </c>
      <c r="AA453" s="46" t="s">
        <v>620</v>
      </c>
      <c r="AB453" s="19"/>
    </row>
    <row r="454" spans="1:28" ht="13.5" customHeight="1" x14ac:dyDescent="0.2">
      <c r="A454" s="114"/>
      <c r="B454" s="123"/>
      <c r="C454" s="84" t="s">
        <v>57</v>
      </c>
      <c r="D454" s="90">
        <f>D453*E454/E453</f>
        <v>56.448256146369353</v>
      </c>
      <c r="E454" s="84">
        <v>1763</v>
      </c>
      <c r="F454" s="84"/>
      <c r="G454" s="84"/>
      <c r="H454" s="84"/>
      <c r="I454" s="84"/>
      <c r="J454" s="84"/>
      <c r="K454" s="84"/>
      <c r="L454" s="84"/>
      <c r="M454" s="84"/>
      <c r="N454" s="84"/>
      <c r="O454" s="84"/>
      <c r="P454" s="84"/>
      <c r="Q454" s="84"/>
      <c r="R454" s="84"/>
      <c r="S454" s="84"/>
      <c r="T454" s="84"/>
      <c r="U454" s="84"/>
      <c r="V454" s="84"/>
      <c r="W454" s="84"/>
      <c r="X454" s="84"/>
      <c r="Y454" s="84"/>
      <c r="Z454" s="84"/>
      <c r="AA454" s="84"/>
      <c r="AB454" s="11"/>
    </row>
    <row r="455" spans="1:28" x14ac:dyDescent="0.2">
      <c r="A455" s="114"/>
      <c r="B455" s="123"/>
      <c r="C455" s="84" t="s">
        <v>56</v>
      </c>
      <c r="D455" s="90">
        <f>D453*E455/E453</f>
        <v>24.311723134222692</v>
      </c>
      <c r="E455" s="90">
        <f>E441*E276</f>
        <v>759.30721003134806</v>
      </c>
      <c r="F455" s="84"/>
      <c r="G455" s="84"/>
      <c r="H455" s="84"/>
      <c r="I455" s="84"/>
      <c r="J455" s="84"/>
      <c r="K455" s="84"/>
      <c r="L455" s="84"/>
      <c r="M455" s="84"/>
      <c r="N455" s="84"/>
      <c r="O455" s="84"/>
      <c r="P455" s="84"/>
      <c r="Q455" s="84"/>
      <c r="R455" s="84"/>
      <c r="S455" s="84"/>
      <c r="T455" s="84"/>
      <c r="U455" s="84"/>
      <c r="V455" s="84"/>
      <c r="W455" s="84"/>
      <c r="X455" s="84"/>
      <c r="Y455" s="84"/>
      <c r="Z455" s="84"/>
      <c r="AA455" s="84"/>
      <c r="AB455" s="7"/>
    </row>
    <row r="456" spans="1:28" x14ac:dyDescent="0.2">
      <c r="A456" s="114"/>
      <c r="B456" s="123"/>
      <c r="C456" s="84" t="s">
        <v>55</v>
      </c>
      <c r="D456" s="90">
        <f>D457*E456/E457</f>
        <v>25.121999999999996</v>
      </c>
      <c r="E456" s="90">
        <f>E442*E457/E443</f>
        <v>785.45999999999992</v>
      </c>
      <c r="F456" s="84"/>
      <c r="G456" s="84"/>
      <c r="H456" s="84"/>
      <c r="I456" s="84"/>
      <c r="J456" s="84"/>
      <c r="K456" s="84"/>
      <c r="L456" s="84"/>
      <c r="M456" s="84"/>
      <c r="N456" s="84"/>
      <c r="O456" s="84"/>
      <c r="P456" s="84"/>
      <c r="Q456" s="84"/>
      <c r="R456" s="84"/>
      <c r="S456" s="84"/>
      <c r="T456" s="84"/>
      <c r="U456" s="84"/>
      <c r="V456" s="84"/>
      <c r="W456" s="84"/>
      <c r="X456" s="84"/>
      <c r="Y456" s="84"/>
      <c r="Z456" s="84"/>
      <c r="AA456" s="84"/>
      <c r="AB456" s="7"/>
    </row>
    <row r="457" spans="1:28" x14ac:dyDescent="0.2">
      <c r="A457" s="114"/>
      <c r="B457" s="124"/>
      <c r="C457" s="50" t="s">
        <v>9</v>
      </c>
      <c r="D457" s="50">
        <v>47.4</v>
      </c>
      <c r="E457" s="50" t="s">
        <v>309</v>
      </c>
      <c r="F457" s="50" t="s">
        <v>310</v>
      </c>
      <c r="G457" s="50" t="s">
        <v>257</v>
      </c>
      <c r="H457" s="50" t="s">
        <v>311</v>
      </c>
      <c r="I457" s="50" t="s">
        <v>312</v>
      </c>
      <c r="J457" s="50" t="s">
        <v>313</v>
      </c>
      <c r="K457" s="50" t="s">
        <v>96</v>
      </c>
      <c r="L457" s="50" t="s">
        <v>81</v>
      </c>
      <c r="M457" s="50" t="s">
        <v>86</v>
      </c>
      <c r="N457" s="50" t="s">
        <v>242</v>
      </c>
      <c r="O457" s="50" t="s">
        <v>254</v>
      </c>
      <c r="P457" s="50" t="s">
        <v>70</v>
      </c>
      <c r="Q457" s="50" t="s">
        <v>72</v>
      </c>
      <c r="R457" s="50" t="s">
        <v>75</v>
      </c>
      <c r="S457" s="50" t="s">
        <v>177</v>
      </c>
      <c r="T457" s="50" t="s">
        <v>181</v>
      </c>
      <c r="U457" s="50" t="s">
        <v>147</v>
      </c>
      <c r="V457" s="50" t="s">
        <v>258</v>
      </c>
      <c r="W457" s="50" t="s">
        <v>208</v>
      </c>
      <c r="X457" s="50" t="s">
        <v>264</v>
      </c>
      <c r="Y457" s="84" t="s">
        <v>90</v>
      </c>
      <c r="Z457" s="84" t="s">
        <v>314</v>
      </c>
      <c r="AA457" s="84" t="s">
        <v>315</v>
      </c>
      <c r="AB457" s="7"/>
    </row>
    <row r="458" spans="1:28" s="7" customFormat="1" x14ac:dyDescent="0.2">
      <c r="A458" s="114"/>
      <c r="B458" s="103"/>
      <c r="Y458" s="67"/>
      <c r="Z458" s="67"/>
      <c r="AA458" s="67"/>
    </row>
    <row r="459" spans="1:28" x14ac:dyDescent="0.2">
      <c r="A459" s="114"/>
      <c r="B459" s="103"/>
      <c r="C459" s="99"/>
      <c r="D459" s="100" t="s">
        <v>47</v>
      </c>
      <c r="E459" s="100" t="s">
        <v>48</v>
      </c>
      <c r="F459" s="100" t="s">
        <v>49</v>
      </c>
      <c r="G459" s="100" t="s">
        <v>50</v>
      </c>
      <c r="H459" s="100" t="s">
        <v>51</v>
      </c>
      <c r="I459" s="100" t="s">
        <v>52</v>
      </c>
      <c r="J459" s="100" t="s">
        <v>53</v>
      </c>
      <c r="K459" s="66">
        <v>0.01</v>
      </c>
      <c r="L459" s="66">
        <v>0.05</v>
      </c>
      <c r="M459" s="66">
        <v>0.1</v>
      </c>
      <c r="N459" s="66">
        <v>0.2</v>
      </c>
      <c r="O459" s="73">
        <v>0.3</v>
      </c>
      <c r="P459" s="73">
        <v>0.4</v>
      </c>
      <c r="Q459" s="73">
        <v>0.5</v>
      </c>
      <c r="R459" s="73">
        <v>0.6</v>
      </c>
      <c r="S459" s="73">
        <v>0.7</v>
      </c>
      <c r="T459" s="73">
        <v>0.8</v>
      </c>
      <c r="U459" s="73">
        <v>0.9</v>
      </c>
      <c r="V459" s="73">
        <v>0.95</v>
      </c>
      <c r="W459" s="73">
        <v>0.99</v>
      </c>
      <c r="X459" s="66">
        <v>0.995</v>
      </c>
      <c r="Y459" s="76">
        <v>0.999</v>
      </c>
      <c r="Z459" s="76">
        <v>0.99950000000000006</v>
      </c>
      <c r="AA459" s="76">
        <v>0.99990000000000001</v>
      </c>
      <c r="AB459" s="7"/>
    </row>
    <row r="460" spans="1:28" x14ac:dyDescent="0.2">
      <c r="A460" s="114"/>
      <c r="B460" s="123" t="s">
        <v>325</v>
      </c>
      <c r="C460" s="84" t="s">
        <v>54</v>
      </c>
      <c r="D460" s="84">
        <v>64.3</v>
      </c>
      <c r="E460" s="84" t="s">
        <v>621</v>
      </c>
      <c r="F460" s="84" t="s">
        <v>622</v>
      </c>
      <c r="G460" s="84" t="s">
        <v>452</v>
      </c>
      <c r="H460" s="84" t="s">
        <v>623</v>
      </c>
      <c r="I460" s="84" t="s">
        <v>624</v>
      </c>
      <c r="J460" s="84" t="s">
        <v>625</v>
      </c>
      <c r="K460" s="84" t="s">
        <v>242</v>
      </c>
      <c r="L460" s="84" t="s">
        <v>255</v>
      </c>
      <c r="M460" s="84" t="s">
        <v>378</v>
      </c>
      <c r="N460" s="84" t="s">
        <v>76</v>
      </c>
      <c r="O460" s="84" t="s">
        <v>111</v>
      </c>
      <c r="P460" s="84" t="s">
        <v>114</v>
      </c>
      <c r="Q460" s="84" t="s">
        <v>165</v>
      </c>
      <c r="R460" s="84" t="s">
        <v>218</v>
      </c>
      <c r="S460" s="84" t="s">
        <v>182</v>
      </c>
      <c r="T460" s="84" t="s">
        <v>238</v>
      </c>
      <c r="U460" s="84" t="s">
        <v>135</v>
      </c>
      <c r="V460" s="84" t="s">
        <v>352</v>
      </c>
      <c r="W460" s="84" t="s">
        <v>280</v>
      </c>
      <c r="X460" s="84" t="s">
        <v>626</v>
      </c>
      <c r="Y460" s="46" t="s">
        <v>371</v>
      </c>
      <c r="Z460" s="46" t="s">
        <v>627</v>
      </c>
      <c r="AA460" s="46" t="s">
        <v>628</v>
      </c>
      <c r="AB460" s="7"/>
    </row>
    <row r="461" spans="1:28" ht="14.25" customHeight="1" x14ac:dyDescent="0.2">
      <c r="A461" s="114"/>
      <c r="B461" s="123"/>
      <c r="C461" s="84" t="s">
        <v>57</v>
      </c>
      <c r="D461" s="90">
        <f>D460*E461/E460</f>
        <v>64.908416334661354</v>
      </c>
      <c r="E461" s="84">
        <v>2027</v>
      </c>
      <c r="F461" s="84"/>
      <c r="G461" s="84"/>
      <c r="H461" s="84"/>
      <c r="I461" s="84"/>
      <c r="J461" s="84"/>
      <c r="K461" s="84"/>
      <c r="L461" s="84"/>
      <c r="M461" s="84"/>
      <c r="N461" s="84"/>
      <c r="O461" s="84"/>
      <c r="P461" s="84"/>
      <c r="Q461" s="84"/>
      <c r="R461" s="84"/>
      <c r="S461" s="84"/>
      <c r="T461" s="84"/>
      <c r="U461" s="84"/>
      <c r="V461" s="84"/>
      <c r="W461" s="84"/>
      <c r="X461" s="84"/>
      <c r="Y461" s="84"/>
      <c r="Z461" s="84"/>
      <c r="AA461" s="84"/>
      <c r="AB461" s="7"/>
    </row>
    <row r="462" spans="1:28" x14ac:dyDescent="0.2">
      <c r="A462" s="114"/>
      <c r="B462" s="123"/>
      <c r="C462" s="84" t="s">
        <v>56</v>
      </c>
      <c r="D462" s="90">
        <f>D460*E462/E460</f>
        <v>25.465230051580509</v>
      </c>
      <c r="E462" s="90">
        <f>E441*E277</f>
        <v>795.24388714733539</v>
      </c>
      <c r="F462" s="84"/>
      <c r="G462" s="84"/>
      <c r="H462" s="84"/>
      <c r="I462" s="84"/>
      <c r="J462" s="84"/>
      <c r="K462" s="84"/>
      <c r="L462" s="84"/>
      <c r="M462" s="84"/>
      <c r="N462" s="84"/>
      <c r="O462" s="84"/>
      <c r="P462" s="84"/>
      <c r="Q462" s="84"/>
      <c r="R462" s="84"/>
      <c r="S462" s="84"/>
      <c r="T462" s="84"/>
      <c r="U462" s="84"/>
      <c r="V462" s="84"/>
      <c r="W462" s="84"/>
      <c r="X462" s="84"/>
      <c r="Y462" s="84"/>
      <c r="Z462" s="84"/>
      <c r="AA462" s="84"/>
      <c r="AB462" s="7"/>
    </row>
    <row r="463" spans="1:28" x14ac:dyDescent="0.2">
      <c r="A463" s="114"/>
      <c r="B463" s="123"/>
      <c r="C463" s="84" t="s">
        <v>55</v>
      </c>
      <c r="D463" s="90">
        <f>D464*E463/E464</f>
        <v>28.09</v>
      </c>
      <c r="E463" s="90">
        <f>E442*E464/E443</f>
        <v>878.20999999999992</v>
      </c>
      <c r="F463" s="84"/>
      <c r="G463" s="84"/>
      <c r="H463" s="84"/>
      <c r="I463" s="84"/>
      <c r="J463" s="84"/>
      <c r="K463" s="84"/>
      <c r="L463" s="84"/>
      <c r="M463" s="84"/>
      <c r="N463" s="84"/>
      <c r="O463" s="84"/>
      <c r="P463" s="84"/>
      <c r="Q463" s="84"/>
      <c r="R463" s="84"/>
      <c r="S463" s="84"/>
      <c r="T463" s="84"/>
      <c r="U463" s="84"/>
      <c r="V463" s="84"/>
      <c r="W463" s="84"/>
      <c r="X463" s="84"/>
      <c r="Y463" s="84"/>
      <c r="Z463" s="84"/>
      <c r="AA463" s="84"/>
      <c r="AB463" s="19"/>
    </row>
    <row r="464" spans="1:28" x14ac:dyDescent="0.2">
      <c r="A464" s="114"/>
      <c r="B464" s="123"/>
      <c r="C464" s="84" t="s">
        <v>9</v>
      </c>
      <c r="D464" s="84">
        <v>53</v>
      </c>
      <c r="E464" s="84" t="s">
        <v>316</v>
      </c>
      <c r="F464" s="84" t="s">
        <v>317</v>
      </c>
      <c r="G464" s="84" t="s">
        <v>257</v>
      </c>
      <c r="H464" s="84" t="s">
        <v>318</v>
      </c>
      <c r="I464" s="84" t="s">
        <v>319</v>
      </c>
      <c r="J464" s="84" t="s">
        <v>320</v>
      </c>
      <c r="K464" s="84" t="s">
        <v>97</v>
      </c>
      <c r="L464" s="84" t="s">
        <v>81</v>
      </c>
      <c r="M464" s="84" t="s">
        <v>87</v>
      </c>
      <c r="N464" s="84" t="s">
        <v>243</v>
      </c>
      <c r="O464" s="84" t="s">
        <v>254</v>
      </c>
      <c r="P464" s="84" t="s">
        <v>71</v>
      </c>
      <c r="Q464" s="84" t="s">
        <v>72</v>
      </c>
      <c r="R464" s="84" t="s">
        <v>74</v>
      </c>
      <c r="S464" s="84" t="s">
        <v>307</v>
      </c>
      <c r="T464" s="84" t="s">
        <v>223</v>
      </c>
      <c r="U464" s="84" t="s">
        <v>112</v>
      </c>
      <c r="V464" s="84" t="s">
        <v>115</v>
      </c>
      <c r="W464" s="84" t="s">
        <v>182</v>
      </c>
      <c r="X464" s="84" t="s">
        <v>321</v>
      </c>
      <c r="Y464" s="84" t="s">
        <v>322</v>
      </c>
      <c r="Z464" s="84" t="s">
        <v>323</v>
      </c>
      <c r="AA464" s="84" t="s">
        <v>324</v>
      </c>
      <c r="AB464" s="19"/>
    </row>
    <row r="465" spans="1:28" x14ac:dyDescent="0.2">
      <c r="A465" s="114"/>
      <c r="B465" s="8"/>
      <c r="AB465" s="19"/>
    </row>
    <row r="466" spans="1:28" x14ac:dyDescent="0.2">
      <c r="AB466" s="19"/>
    </row>
    <row r="467" spans="1:28" x14ac:dyDescent="0.2">
      <c r="AB467" s="19"/>
    </row>
    <row r="468" spans="1:28" x14ac:dyDescent="0.2">
      <c r="AB468" s="19"/>
    </row>
    <row r="469" spans="1:28" x14ac:dyDescent="0.2">
      <c r="AB469" s="19"/>
    </row>
    <row r="470" spans="1:28" x14ac:dyDescent="0.2">
      <c r="AB470" s="19"/>
    </row>
    <row r="471" spans="1:28" x14ac:dyDescent="0.2">
      <c r="AB471" s="19"/>
    </row>
    <row r="472" spans="1:28" ht="23.25" x14ac:dyDescent="0.2">
      <c r="Y472" s="20"/>
      <c r="Z472" s="20"/>
      <c r="AA472" s="20"/>
      <c r="AB472" s="19"/>
    </row>
    <row r="473" spans="1:28" ht="23.25" x14ac:dyDescent="0.2">
      <c r="A473" s="113" t="s">
        <v>66</v>
      </c>
      <c r="B473" s="113"/>
      <c r="C473" s="113"/>
      <c r="D473" s="113"/>
      <c r="E473" s="113"/>
      <c r="F473" s="113"/>
      <c r="G473" s="113"/>
      <c r="H473" s="113"/>
      <c r="I473" s="113"/>
      <c r="J473" s="113"/>
      <c r="K473" s="113"/>
      <c r="L473" s="113"/>
      <c r="M473" s="113"/>
      <c r="N473" s="113"/>
      <c r="O473" s="113"/>
      <c r="P473" s="113"/>
      <c r="Q473" s="113"/>
      <c r="R473" s="113"/>
      <c r="S473" s="113"/>
      <c r="T473" s="113"/>
      <c r="U473" s="113"/>
      <c r="V473" s="20"/>
      <c r="W473" s="20"/>
      <c r="X473" s="20"/>
      <c r="AB473" s="19"/>
    </row>
    <row r="474" spans="1:28" x14ac:dyDescent="0.2">
      <c r="C474" s="7"/>
      <c r="D474" s="27" t="s">
        <v>47</v>
      </c>
      <c r="E474" s="27" t="s">
        <v>48</v>
      </c>
      <c r="F474" s="27" t="s">
        <v>49</v>
      </c>
      <c r="G474" s="27" t="s">
        <v>50</v>
      </c>
      <c r="H474" s="27" t="s">
        <v>51</v>
      </c>
      <c r="I474" s="27" t="s">
        <v>52</v>
      </c>
      <c r="J474" s="27" t="s">
        <v>53</v>
      </c>
      <c r="K474" s="53">
        <v>0.01</v>
      </c>
      <c r="L474" s="53">
        <v>0.05</v>
      </c>
      <c r="M474" s="53">
        <v>0.1</v>
      </c>
      <c r="N474" s="53">
        <v>0.2</v>
      </c>
      <c r="O474" s="54">
        <v>0.3</v>
      </c>
      <c r="P474" s="54">
        <v>0.4</v>
      </c>
      <c r="Q474" s="54">
        <v>0.5</v>
      </c>
      <c r="R474" s="54">
        <v>0.6</v>
      </c>
      <c r="S474" s="54">
        <v>0.7</v>
      </c>
      <c r="T474" s="54">
        <v>0.8</v>
      </c>
      <c r="U474" s="54">
        <v>0.9</v>
      </c>
      <c r="V474" s="54">
        <v>0.95</v>
      </c>
      <c r="W474" s="54">
        <v>0.99</v>
      </c>
      <c r="X474" s="53">
        <v>0.995</v>
      </c>
      <c r="Y474" s="53">
        <v>0.999</v>
      </c>
      <c r="Z474" s="53">
        <v>0.99950000000000006</v>
      </c>
      <c r="AA474" s="53">
        <v>0.99990000000000001</v>
      </c>
      <c r="AB474" s="19"/>
    </row>
    <row r="475" spans="1:28" x14ac:dyDescent="0.2">
      <c r="A475" s="19"/>
      <c r="B475" s="125" t="s">
        <v>155</v>
      </c>
      <c r="C475" s="23" t="s">
        <v>54</v>
      </c>
      <c r="D475" s="23" t="s">
        <v>118</v>
      </c>
      <c r="E475" s="23" t="s">
        <v>119</v>
      </c>
      <c r="F475" s="23" t="s">
        <v>120</v>
      </c>
      <c r="G475" s="23" t="s">
        <v>68</v>
      </c>
      <c r="H475" s="23" t="s">
        <v>121</v>
      </c>
      <c r="I475" s="23" t="s">
        <v>122</v>
      </c>
      <c r="J475" s="23" t="s">
        <v>123</v>
      </c>
      <c r="K475" s="29" t="s">
        <v>124</v>
      </c>
      <c r="L475" s="29" t="s">
        <v>125</v>
      </c>
      <c r="M475" s="29" t="s">
        <v>126</v>
      </c>
      <c r="N475" s="29" t="s">
        <v>127</v>
      </c>
      <c r="O475" s="30" t="s">
        <v>128</v>
      </c>
      <c r="P475" s="30" t="s">
        <v>129</v>
      </c>
      <c r="Q475" s="30" t="s">
        <v>130</v>
      </c>
      <c r="R475" s="30" t="s">
        <v>131</v>
      </c>
      <c r="S475" s="30" t="s">
        <v>132</v>
      </c>
      <c r="T475" s="30" t="s">
        <v>133</v>
      </c>
      <c r="U475" s="30" t="s">
        <v>134</v>
      </c>
      <c r="V475" s="30" t="s">
        <v>135</v>
      </c>
      <c r="W475" s="30" t="s">
        <v>90</v>
      </c>
      <c r="X475" s="29" t="s">
        <v>136</v>
      </c>
      <c r="Y475" s="29" t="s">
        <v>137</v>
      </c>
      <c r="Z475" s="29" t="s">
        <v>137</v>
      </c>
      <c r="AA475" s="29" t="s">
        <v>138</v>
      </c>
      <c r="AB475" s="19"/>
    </row>
    <row r="476" spans="1:28" ht="14.25" customHeight="1" x14ac:dyDescent="0.2">
      <c r="A476" s="114" t="s">
        <v>61</v>
      </c>
      <c r="B476" s="125"/>
      <c r="C476" s="23" t="s">
        <v>57</v>
      </c>
      <c r="D476" s="33">
        <f>D475*1.73</f>
        <v>3517.09</v>
      </c>
      <c r="E476" s="33">
        <v>125</v>
      </c>
      <c r="F476" s="23"/>
      <c r="G476" s="23"/>
      <c r="H476" s="23"/>
      <c r="I476" s="23"/>
      <c r="J476" s="23"/>
      <c r="K476" s="108">
        <v>65</v>
      </c>
      <c r="L476" s="108">
        <v>69</v>
      </c>
      <c r="M476" s="108">
        <v>69</v>
      </c>
      <c r="N476" s="108">
        <v>70</v>
      </c>
      <c r="O476" s="108">
        <v>71</v>
      </c>
      <c r="P476" s="108">
        <v>71</v>
      </c>
      <c r="Q476" s="108">
        <v>72</v>
      </c>
      <c r="R476" s="108">
        <v>73</v>
      </c>
      <c r="S476" s="108">
        <v>74</v>
      </c>
      <c r="T476" s="108">
        <v>75</v>
      </c>
      <c r="U476" s="108">
        <v>80</v>
      </c>
      <c r="V476" s="108">
        <v>85</v>
      </c>
      <c r="W476" s="108">
        <v>109</v>
      </c>
      <c r="X476" s="108" t="s">
        <v>79</v>
      </c>
      <c r="Y476" s="108" t="s">
        <v>154</v>
      </c>
      <c r="Z476" s="108" t="s">
        <v>154</v>
      </c>
      <c r="AA476" s="108" t="s">
        <v>154</v>
      </c>
      <c r="AB476" s="19"/>
    </row>
    <row r="477" spans="1:28" x14ac:dyDescent="0.2">
      <c r="A477" s="114"/>
      <c r="B477" s="125"/>
      <c r="C477" s="23" t="s">
        <v>56</v>
      </c>
      <c r="D477" s="33">
        <f>D475*E477/E475</f>
        <v>441.81732283464567</v>
      </c>
      <c r="E477" s="23">
        <v>13.8</v>
      </c>
      <c r="F477" s="23"/>
      <c r="G477" s="23"/>
      <c r="H477" s="23"/>
      <c r="I477" s="23"/>
      <c r="J477" s="23"/>
      <c r="K477" s="33">
        <f>K5*E5/E477</f>
        <v>689.91566521094455</v>
      </c>
      <c r="L477" s="33">
        <f>L5*E5/E477</f>
        <v>730.16474066922137</v>
      </c>
      <c r="M477" s="33">
        <f>M5*E5/E477</f>
        <v>768.13015652710328</v>
      </c>
      <c r="N477" s="33">
        <f>N5*E5/E477</f>
        <v>815.65930997605528</v>
      </c>
      <c r="O477" s="33">
        <f>O5*E5/E477</f>
        <v>852.43219794094591</v>
      </c>
      <c r="P477" s="33">
        <f>P5*E5/E477</f>
        <v>876.88233072433002</v>
      </c>
      <c r="Q477" s="33">
        <f>Q5*E5/E477</f>
        <v>874.83006288625688</v>
      </c>
      <c r="R477" s="33">
        <f>R5*E5/E477</f>
        <v>895.35113885378701</v>
      </c>
      <c r="S477" s="33">
        <f>S5*E5/E477</f>
        <v>905.49092149507032</v>
      </c>
      <c r="T477" s="33">
        <f>T5*E5/E477</f>
        <v>912.35147693328918</v>
      </c>
      <c r="U477" s="33">
        <f>U5*E5/E477</f>
        <v>979.48372213316782</v>
      </c>
      <c r="V477" s="33">
        <f>V5*E5/E477</f>
        <v>1058.7782571818418</v>
      </c>
      <c r="W477" s="33">
        <f>W5*E5/E477</f>
        <v>1410.765709702401</v>
      </c>
      <c r="X477" s="33">
        <f>X5*E5/E477</f>
        <v>276076.43056016526</v>
      </c>
      <c r="Y477" s="33">
        <f>Y5*E5/E477</f>
        <v>279033.12516133796</v>
      </c>
      <c r="Z477" s="33">
        <f>Z5*E5/E477</f>
        <v>279033.12516133796</v>
      </c>
      <c r="AA477" s="33">
        <f>AA5*E5/E477</f>
        <v>281984.18796327029</v>
      </c>
      <c r="AB477" s="19"/>
    </row>
    <row r="478" spans="1:28" x14ac:dyDescent="0.2">
      <c r="A478" s="114"/>
      <c r="B478" s="125"/>
      <c r="C478" s="23" t="s">
        <v>55</v>
      </c>
      <c r="D478" s="33" t="s">
        <v>139</v>
      </c>
      <c r="E478" s="33" t="s">
        <v>140</v>
      </c>
      <c r="F478" s="23" t="s">
        <v>141</v>
      </c>
      <c r="G478" s="23" t="s">
        <v>111</v>
      </c>
      <c r="H478" s="23" t="s">
        <v>142</v>
      </c>
      <c r="I478" s="23" t="s">
        <v>143</v>
      </c>
      <c r="J478" s="23" t="s">
        <v>144</v>
      </c>
      <c r="K478" s="23" t="s">
        <v>145</v>
      </c>
      <c r="L478" s="23" t="s">
        <v>146</v>
      </c>
      <c r="M478" s="23" t="s">
        <v>146</v>
      </c>
      <c r="N478" s="23" t="s">
        <v>147</v>
      </c>
      <c r="O478" s="23" t="s">
        <v>115</v>
      </c>
      <c r="P478" s="23" t="s">
        <v>115</v>
      </c>
      <c r="Q478" s="23" t="s">
        <v>148</v>
      </c>
      <c r="R478" s="23" t="s">
        <v>149</v>
      </c>
      <c r="S478" s="23" t="s">
        <v>149</v>
      </c>
      <c r="T478" s="23" t="s">
        <v>150</v>
      </c>
      <c r="U478" s="23" t="s">
        <v>151</v>
      </c>
      <c r="V478" s="23" t="s">
        <v>152</v>
      </c>
      <c r="W478" s="23" t="s">
        <v>153</v>
      </c>
      <c r="X478" s="23" t="s">
        <v>154</v>
      </c>
      <c r="Y478" s="23" t="s">
        <v>154</v>
      </c>
      <c r="Z478" s="23" t="s">
        <v>154</v>
      </c>
      <c r="AA478" s="23" t="s">
        <v>154</v>
      </c>
      <c r="AB478" s="19"/>
    </row>
    <row r="479" spans="1:28" x14ac:dyDescent="0.2">
      <c r="A479" s="114"/>
      <c r="B479" s="126"/>
      <c r="C479" s="21" t="s">
        <v>9</v>
      </c>
      <c r="D479" s="21" t="s">
        <v>139</v>
      </c>
      <c r="E479" s="21" t="s">
        <v>140</v>
      </c>
      <c r="F479" s="21" t="s">
        <v>141</v>
      </c>
      <c r="G479" s="21" t="s">
        <v>111</v>
      </c>
      <c r="H479" s="21" t="s">
        <v>142</v>
      </c>
      <c r="I479" s="21" t="s">
        <v>143</v>
      </c>
      <c r="J479" s="21" t="s">
        <v>144</v>
      </c>
      <c r="K479" s="21" t="s">
        <v>145</v>
      </c>
      <c r="L479" s="21" t="s">
        <v>146</v>
      </c>
      <c r="M479" s="21" t="s">
        <v>146</v>
      </c>
      <c r="N479" s="21" t="s">
        <v>147</v>
      </c>
      <c r="O479" s="21" t="s">
        <v>115</v>
      </c>
      <c r="P479" s="21" t="s">
        <v>115</v>
      </c>
      <c r="Q479" s="21" t="s">
        <v>148</v>
      </c>
      <c r="R479" s="21" t="s">
        <v>149</v>
      </c>
      <c r="S479" s="21" t="s">
        <v>149</v>
      </c>
      <c r="T479" s="21" t="s">
        <v>150</v>
      </c>
      <c r="U479" s="21" t="s">
        <v>151</v>
      </c>
      <c r="V479" s="21" t="s">
        <v>152</v>
      </c>
      <c r="W479" s="21" t="s">
        <v>153</v>
      </c>
      <c r="X479" s="21" t="s">
        <v>154</v>
      </c>
      <c r="Y479" s="23" t="s">
        <v>154</v>
      </c>
      <c r="Z479" s="23" t="s">
        <v>154</v>
      </c>
      <c r="AA479" s="23" t="s">
        <v>154</v>
      </c>
      <c r="AB479" s="19"/>
    </row>
    <row r="480" spans="1:28" s="7" customFormat="1" x14ac:dyDescent="0.2">
      <c r="A480" s="114"/>
      <c r="B480" s="8"/>
      <c r="Y480" s="67"/>
      <c r="Z480" s="67"/>
      <c r="AA480" s="67"/>
    </row>
    <row r="481" spans="1:28" x14ac:dyDescent="0.2">
      <c r="A481" s="114"/>
      <c r="B481" s="77"/>
      <c r="C481" s="7"/>
      <c r="D481" s="46" t="s">
        <v>47</v>
      </c>
      <c r="E481" s="46" t="s">
        <v>48</v>
      </c>
      <c r="F481" s="46" t="s">
        <v>49</v>
      </c>
      <c r="G481" s="46" t="s">
        <v>50</v>
      </c>
      <c r="H481" s="46" t="s">
        <v>51</v>
      </c>
      <c r="I481" s="46" t="s">
        <v>52</v>
      </c>
      <c r="J481" s="46" t="s">
        <v>53</v>
      </c>
      <c r="K481" s="47">
        <v>0.01</v>
      </c>
      <c r="L481" s="47">
        <v>0.05</v>
      </c>
      <c r="M481" s="47">
        <v>0.1</v>
      </c>
      <c r="N481" s="47">
        <v>0.2</v>
      </c>
      <c r="O481" s="48">
        <v>0.3</v>
      </c>
      <c r="P481" s="48">
        <v>0.4</v>
      </c>
      <c r="Q481" s="48">
        <v>0.5</v>
      </c>
      <c r="R481" s="48">
        <v>0.6</v>
      </c>
      <c r="S481" s="48">
        <v>0.7</v>
      </c>
      <c r="T481" s="48">
        <v>0.8</v>
      </c>
      <c r="U481" s="48">
        <v>0.9</v>
      </c>
      <c r="V481" s="48">
        <v>0.95</v>
      </c>
      <c r="W481" s="48">
        <v>0.99</v>
      </c>
      <c r="X481" s="47">
        <v>0.995</v>
      </c>
      <c r="Y481" s="65">
        <v>0.999</v>
      </c>
      <c r="Z481" s="65">
        <v>0.99950000000000006</v>
      </c>
      <c r="AA481" s="65">
        <v>0.99990000000000001</v>
      </c>
      <c r="AB481" s="19"/>
    </row>
    <row r="482" spans="1:28" x14ac:dyDescent="0.2">
      <c r="A482" s="114"/>
      <c r="B482" s="127" t="s">
        <v>156</v>
      </c>
      <c r="C482" s="23" t="s">
        <v>54</v>
      </c>
      <c r="D482" s="23" t="s">
        <v>590</v>
      </c>
      <c r="E482" s="23" t="s">
        <v>591</v>
      </c>
      <c r="F482" s="23" t="s">
        <v>592</v>
      </c>
      <c r="G482" s="23" t="s">
        <v>95</v>
      </c>
      <c r="H482" s="23" t="s">
        <v>593</v>
      </c>
      <c r="I482" s="23" t="s">
        <v>594</v>
      </c>
      <c r="J482" s="23" t="s">
        <v>595</v>
      </c>
      <c r="K482" s="29" t="s">
        <v>81</v>
      </c>
      <c r="L482" s="29" t="s">
        <v>68</v>
      </c>
      <c r="M482" s="29" t="s">
        <v>68</v>
      </c>
      <c r="N482" s="29" t="s">
        <v>68</v>
      </c>
      <c r="O482" s="30" t="s">
        <v>68</v>
      </c>
      <c r="P482" s="30" t="s">
        <v>244</v>
      </c>
      <c r="Q482" s="30" t="s">
        <v>233</v>
      </c>
      <c r="R482" s="30" t="s">
        <v>111</v>
      </c>
      <c r="S482" s="30" t="s">
        <v>125</v>
      </c>
      <c r="T482" s="30" t="s">
        <v>152</v>
      </c>
      <c r="U482" s="30" t="s">
        <v>342</v>
      </c>
      <c r="V482" s="30" t="s">
        <v>263</v>
      </c>
      <c r="W482" s="30" t="s">
        <v>322</v>
      </c>
      <c r="X482" s="29" t="s">
        <v>596</v>
      </c>
      <c r="Y482" s="66" t="s">
        <v>597</v>
      </c>
      <c r="Z482" s="66" t="s">
        <v>597</v>
      </c>
      <c r="AA482" s="66" t="s">
        <v>597</v>
      </c>
      <c r="AB482" s="19"/>
    </row>
    <row r="483" spans="1:28" ht="14.25" customHeight="1" x14ac:dyDescent="0.2">
      <c r="A483" s="114"/>
      <c r="B483" s="125"/>
      <c r="C483" s="23" t="s">
        <v>57</v>
      </c>
      <c r="D483" s="33">
        <f>D486*E483/E486</f>
        <v>5467.8292682926831</v>
      </c>
      <c r="E483" s="23">
        <v>171</v>
      </c>
      <c r="F483" s="23"/>
      <c r="G483" s="23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23"/>
      <c r="AA483" s="23"/>
      <c r="AB483" s="19"/>
    </row>
    <row r="484" spans="1:28" x14ac:dyDescent="0.2">
      <c r="A484" s="114"/>
      <c r="B484" s="125"/>
      <c r="C484" s="23" t="s">
        <v>56</v>
      </c>
      <c r="D484" s="33">
        <f>D482*E484/E482</f>
        <v>1030.8075949367089</v>
      </c>
      <c r="E484" s="23">
        <f>E477*E267</f>
        <v>32.200000000000003</v>
      </c>
      <c r="F484" s="23"/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  <c r="Z484" s="23"/>
      <c r="AA484" s="23"/>
      <c r="AB484" s="19"/>
    </row>
    <row r="485" spans="1:28" x14ac:dyDescent="0.2">
      <c r="A485" s="114"/>
      <c r="B485" s="125"/>
      <c r="C485" s="23" t="s">
        <v>55</v>
      </c>
      <c r="D485" s="23" t="s">
        <v>159</v>
      </c>
      <c r="E485" s="23" t="s">
        <v>160</v>
      </c>
      <c r="F485" s="23" t="s">
        <v>161</v>
      </c>
      <c r="G485" s="23" t="s">
        <v>106</v>
      </c>
      <c r="H485" s="23" t="s">
        <v>162</v>
      </c>
      <c r="I485" s="23" t="s">
        <v>163</v>
      </c>
      <c r="J485" s="23" t="s">
        <v>164</v>
      </c>
      <c r="K485" s="23" t="s">
        <v>109</v>
      </c>
      <c r="L485" s="23" t="s">
        <v>113</v>
      </c>
      <c r="M485" s="23" t="s">
        <v>114</v>
      </c>
      <c r="N485" s="23" t="s">
        <v>115</v>
      </c>
      <c r="O485" s="23" t="s">
        <v>165</v>
      </c>
      <c r="P485" s="23" t="s">
        <v>166</v>
      </c>
      <c r="Q485" s="23" t="s">
        <v>167</v>
      </c>
      <c r="R485" s="23" t="s">
        <v>168</v>
      </c>
      <c r="S485" s="23" t="s">
        <v>116</v>
      </c>
      <c r="T485" s="23" t="s">
        <v>126</v>
      </c>
      <c r="U485" s="23" t="s">
        <v>169</v>
      </c>
      <c r="V485" s="23" t="s">
        <v>170</v>
      </c>
      <c r="W485" s="23" t="s">
        <v>171</v>
      </c>
      <c r="X485" s="23" t="s">
        <v>154</v>
      </c>
      <c r="Y485" s="23" t="s">
        <v>172</v>
      </c>
      <c r="Z485" s="23" t="s">
        <v>173</v>
      </c>
      <c r="AA485" s="23" t="s">
        <v>174</v>
      </c>
      <c r="AB485" s="19"/>
    </row>
    <row r="486" spans="1:28" x14ac:dyDescent="0.2">
      <c r="A486" s="114"/>
      <c r="B486" s="126"/>
      <c r="C486" s="21" t="s">
        <v>9</v>
      </c>
      <c r="D486" s="21" t="s">
        <v>159</v>
      </c>
      <c r="E486" s="21" t="s">
        <v>160</v>
      </c>
      <c r="F486" s="21" t="s">
        <v>161</v>
      </c>
      <c r="G486" s="21" t="s">
        <v>106</v>
      </c>
      <c r="H486" s="21" t="s">
        <v>162</v>
      </c>
      <c r="I486" s="21" t="s">
        <v>163</v>
      </c>
      <c r="J486" s="21" t="s">
        <v>164</v>
      </c>
      <c r="K486" s="21" t="s">
        <v>109</v>
      </c>
      <c r="L486" s="21" t="s">
        <v>113</v>
      </c>
      <c r="M486" s="21" t="s">
        <v>114</v>
      </c>
      <c r="N486" s="21" t="s">
        <v>115</v>
      </c>
      <c r="O486" s="21" t="s">
        <v>165</v>
      </c>
      <c r="P486" s="21" t="s">
        <v>166</v>
      </c>
      <c r="Q486" s="21" t="s">
        <v>167</v>
      </c>
      <c r="R486" s="21" t="s">
        <v>168</v>
      </c>
      <c r="S486" s="21" t="s">
        <v>116</v>
      </c>
      <c r="T486" s="21" t="s">
        <v>126</v>
      </c>
      <c r="U486" s="21" t="s">
        <v>169</v>
      </c>
      <c r="V486" s="21" t="s">
        <v>170</v>
      </c>
      <c r="W486" s="21" t="s">
        <v>171</v>
      </c>
      <c r="X486" s="21" t="s">
        <v>154</v>
      </c>
      <c r="Y486" s="23" t="s">
        <v>172</v>
      </c>
      <c r="Z486" s="23" t="s">
        <v>173</v>
      </c>
      <c r="AA486" s="23" t="s">
        <v>174</v>
      </c>
      <c r="AB486" s="19"/>
    </row>
    <row r="487" spans="1:28" s="7" customFormat="1" x14ac:dyDescent="0.2">
      <c r="A487" s="114"/>
      <c r="B487" s="8"/>
      <c r="Y487" s="67"/>
      <c r="Z487" s="67"/>
      <c r="AA487" s="67"/>
    </row>
    <row r="488" spans="1:28" x14ac:dyDescent="0.2">
      <c r="A488" s="114"/>
      <c r="B488" s="8"/>
      <c r="C488" s="7"/>
      <c r="D488" s="46" t="s">
        <v>47</v>
      </c>
      <c r="E488" s="46" t="s">
        <v>48</v>
      </c>
      <c r="F488" s="46" t="s">
        <v>49</v>
      </c>
      <c r="G488" s="46" t="s">
        <v>50</v>
      </c>
      <c r="H488" s="46" t="s">
        <v>51</v>
      </c>
      <c r="I488" s="46" t="s">
        <v>52</v>
      </c>
      <c r="J488" s="46" t="s">
        <v>53</v>
      </c>
      <c r="K488" s="47">
        <v>0.01</v>
      </c>
      <c r="L488" s="47">
        <v>0.05</v>
      </c>
      <c r="M488" s="47">
        <v>0.1</v>
      </c>
      <c r="N488" s="47">
        <v>0.2</v>
      </c>
      <c r="O488" s="48">
        <v>0.3</v>
      </c>
      <c r="P488" s="48">
        <v>0.4</v>
      </c>
      <c r="Q488" s="48">
        <v>0.5</v>
      </c>
      <c r="R488" s="48">
        <v>0.6</v>
      </c>
      <c r="S488" s="48">
        <v>0.7</v>
      </c>
      <c r="T488" s="48">
        <v>0.8</v>
      </c>
      <c r="U488" s="48">
        <v>0.9</v>
      </c>
      <c r="V488" s="48">
        <v>0.95</v>
      </c>
      <c r="W488" s="48">
        <v>0.99</v>
      </c>
      <c r="X488" s="47">
        <v>0.995</v>
      </c>
      <c r="Y488" s="65">
        <v>0.999</v>
      </c>
      <c r="Z488" s="65">
        <v>0.99950000000000006</v>
      </c>
      <c r="AA488" s="65">
        <v>0.99990000000000001</v>
      </c>
      <c r="AB488" s="19"/>
    </row>
    <row r="489" spans="1:28" ht="15" customHeight="1" x14ac:dyDescent="0.2">
      <c r="A489" s="114"/>
      <c r="B489" s="125" t="s">
        <v>157</v>
      </c>
      <c r="C489" s="23" t="s">
        <v>54</v>
      </c>
      <c r="D489" s="23">
        <v>2688</v>
      </c>
      <c r="E489" s="23">
        <v>84</v>
      </c>
      <c r="F489" s="23"/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2"/>
      <c r="Z489" s="22"/>
      <c r="AA489" s="22"/>
      <c r="AB489" s="19"/>
    </row>
    <row r="490" spans="1:28" ht="14.25" customHeight="1" x14ac:dyDescent="0.2">
      <c r="A490" s="114"/>
      <c r="B490" s="125"/>
      <c r="C490" s="23" t="s">
        <v>57</v>
      </c>
      <c r="D490" s="33">
        <f>D493*E490/E493</f>
        <v>6134.7096774193551</v>
      </c>
      <c r="E490" s="23">
        <v>192</v>
      </c>
      <c r="F490" s="23"/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  <c r="Z490" s="23"/>
      <c r="AA490" s="23"/>
      <c r="AB490" s="11"/>
    </row>
    <row r="491" spans="1:28" x14ac:dyDescent="0.2">
      <c r="A491" s="114"/>
      <c r="B491" s="125"/>
      <c r="C491" s="23" t="s">
        <v>56</v>
      </c>
      <c r="D491" s="33">
        <f>D489*E491/E489</f>
        <v>1528.6153846153848</v>
      </c>
      <c r="E491" s="56">
        <f>E477*E268</f>
        <v>47.769230769230774</v>
      </c>
      <c r="F491" s="23"/>
      <c r="G491" s="23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  <c r="Z491" s="23"/>
      <c r="AA491" s="23"/>
      <c r="AB491" s="7"/>
    </row>
    <row r="492" spans="1:28" x14ac:dyDescent="0.2">
      <c r="A492" s="114"/>
      <c r="B492" s="125"/>
      <c r="C492" s="23" t="s">
        <v>55</v>
      </c>
      <c r="D492" s="23" t="s">
        <v>175</v>
      </c>
      <c r="E492" s="23" t="s">
        <v>90</v>
      </c>
      <c r="F492" s="23" t="s">
        <v>176</v>
      </c>
      <c r="G492" s="23" t="s">
        <v>177</v>
      </c>
      <c r="H492" s="23" t="s">
        <v>178</v>
      </c>
      <c r="I492" s="23" t="s">
        <v>179</v>
      </c>
      <c r="J492" s="23" t="s">
        <v>180</v>
      </c>
      <c r="K492" s="23" t="s">
        <v>181</v>
      </c>
      <c r="L492" s="23" t="s">
        <v>109</v>
      </c>
      <c r="M492" s="23" t="s">
        <v>110</v>
      </c>
      <c r="N492" s="23" t="s">
        <v>145</v>
      </c>
      <c r="O492" s="23" t="s">
        <v>114</v>
      </c>
      <c r="P492" s="23" t="s">
        <v>146</v>
      </c>
      <c r="Q492" s="23" t="s">
        <v>115</v>
      </c>
      <c r="R492" s="23" t="s">
        <v>165</v>
      </c>
      <c r="S492" s="23" t="s">
        <v>167</v>
      </c>
      <c r="T492" s="23" t="s">
        <v>182</v>
      </c>
      <c r="U492" s="23" t="s">
        <v>183</v>
      </c>
      <c r="V492" s="23" t="s">
        <v>184</v>
      </c>
      <c r="W492" s="23" t="s">
        <v>185</v>
      </c>
      <c r="X492" s="23" t="s">
        <v>154</v>
      </c>
      <c r="Y492" s="23" t="s">
        <v>186</v>
      </c>
      <c r="Z492" s="23" t="s">
        <v>187</v>
      </c>
      <c r="AA492" s="23" t="s">
        <v>188</v>
      </c>
      <c r="AB492" s="7"/>
    </row>
    <row r="493" spans="1:28" x14ac:dyDescent="0.2">
      <c r="A493" s="114"/>
      <c r="B493" s="126"/>
      <c r="C493" s="21" t="s">
        <v>9</v>
      </c>
      <c r="D493" s="21" t="s">
        <v>175</v>
      </c>
      <c r="E493" s="21" t="s">
        <v>90</v>
      </c>
      <c r="F493" s="21" t="s">
        <v>176</v>
      </c>
      <c r="G493" s="21" t="s">
        <v>177</v>
      </c>
      <c r="H493" s="21" t="s">
        <v>178</v>
      </c>
      <c r="I493" s="21" t="s">
        <v>179</v>
      </c>
      <c r="J493" s="21" t="s">
        <v>180</v>
      </c>
      <c r="K493" s="21" t="s">
        <v>181</v>
      </c>
      <c r="L493" s="21" t="s">
        <v>109</v>
      </c>
      <c r="M493" s="21" t="s">
        <v>110</v>
      </c>
      <c r="N493" s="21" t="s">
        <v>145</v>
      </c>
      <c r="O493" s="21" t="s">
        <v>114</v>
      </c>
      <c r="P493" s="21" t="s">
        <v>146</v>
      </c>
      <c r="Q493" s="21" t="s">
        <v>115</v>
      </c>
      <c r="R493" s="21" t="s">
        <v>165</v>
      </c>
      <c r="S493" s="21" t="s">
        <v>167</v>
      </c>
      <c r="T493" s="21" t="s">
        <v>182</v>
      </c>
      <c r="U493" s="21" t="s">
        <v>183</v>
      </c>
      <c r="V493" s="21" t="s">
        <v>184</v>
      </c>
      <c r="W493" s="21" t="s">
        <v>185</v>
      </c>
      <c r="X493" s="21" t="s">
        <v>154</v>
      </c>
      <c r="Y493" s="23" t="s">
        <v>186</v>
      </c>
      <c r="Z493" s="23" t="s">
        <v>187</v>
      </c>
      <c r="AA493" s="23" t="s">
        <v>188</v>
      </c>
      <c r="AB493" s="7"/>
    </row>
    <row r="494" spans="1:28" s="7" customFormat="1" x14ac:dyDescent="0.2">
      <c r="A494" s="114"/>
      <c r="B494" s="8"/>
    </row>
    <row r="495" spans="1:28" x14ac:dyDescent="0.2">
      <c r="A495" s="114"/>
      <c r="B495" s="8"/>
      <c r="C495" s="7"/>
      <c r="D495" s="46" t="s">
        <v>47</v>
      </c>
      <c r="E495" s="46" t="s">
        <v>48</v>
      </c>
      <c r="F495" s="46" t="s">
        <v>49</v>
      </c>
      <c r="G495" s="46" t="s">
        <v>50</v>
      </c>
      <c r="H495" s="46" t="s">
        <v>51</v>
      </c>
      <c r="I495" s="46" t="s">
        <v>52</v>
      </c>
      <c r="J495" s="46" t="s">
        <v>53</v>
      </c>
      <c r="K495" s="47">
        <v>0.01</v>
      </c>
      <c r="L495" s="47">
        <v>0.05</v>
      </c>
      <c r="M495" s="47">
        <v>0.1</v>
      </c>
      <c r="N495" s="47">
        <v>0.2</v>
      </c>
      <c r="O495" s="48">
        <v>0.3</v>
      </c>
      <c r="P495" s="48">
        <v>0.4</v>
      </c>
      <c r="Q495" s="48">
        <v>0.5</v>
      </c>
      <c r="R495" s="48">
        <v>0.6</v>
      </c>
      <c r="S495" s="48">
        <v>0.7</v>
      </c>
      <c r="T495" s="48">
        <v>0.8</v>
      </c>
      <c r="U495" s="48">
        <v>0.9</v>
      </c>
      <c r="V495" s="48">
        <v>0.95</v>
      </c>
      <c r="W495" s="48">
        <v>0.99</v>
      </c>
      <c r="X495" s="47">
        <v>0.995</v>
      </c>
      <c r="Y495" s="65">
        <v>0.999</v>
      </c>
      <c r="Z495" s="65">
        <v>0.99950000000000006</v>
      </c>
      <c r="AA495" s="65">
        <v>0.99990000000000001</v>
      </c>
      <c r="AB495" s="7"/>
    </row>
    <row r="496" spans="1:28" x14ac:dyDescent="0.2">
      <c r="A496" s="114"/>
      <c r="B496" s="125" t="s">
        <v>158</v>
      </c>
      <c r="C496" s="23" t="s">
        <v>54</v>
      </c>
      <c r="D496" s="23">
        <v>2690</v>
      </c>
      <c r="E496" s="23">
        <v>84.1</v>
      </c>
      <c r="F496" s="23"/>
      <c r="G496" s="23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2"/>
      <c r="Z496" s="22"/>
      <c r="AA496" s="22"/>
      <c r="AB496" s="7"/>
    </row>
    <row r="497" spans="1:28" ht="14.25" customHeight="1" x14ac:dyDescent="0.2">
      <c r="A497" s="114"/>
      <c r="B497" s="125"/>
      <c r="C497" s="23" t="s">
        <v>57</v>
      </c>
      <c r="D497" s="33">
        <f>D500*E497/E500</f>
        <v>7006.9954128440368</v>
      </c>
      <c r="E497" s="23">
        <v>219</v>
      </c>
      <c r="F497" s="23"/>
      <c r="G497" s="23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  <c r="Z497" s="23"/>
      <c r="AA497" s="23"/>
      <c r="AB497" s="7"/>
    </row>
    <row r="498" spans="1:28" x14ac:dyDescent="0.2">
      <c r="A498" s="114"/>
      <c r="B498" s="125"/>
      <c r="C498" s="23" t="s">
        <v>56</v>
      </c>
      <c r="D498" s="33">
        <f>D496*E498/E496</f>
        <v>1991.9729260038418</v>
      </c>
      <c r="E498" s="56">
        <f>E477*E269</f>
        <v>62.276923076923083</v>
      </c>
      <c r="F498" s="23"/>
      <c r="G498" s="23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23"/>
      <c r="Z498" s="23"/>
      <c r="AA498" s="23"/>
      <c r="AB498" s="7"/>
    </row>
    <row r="499" spans="1:28" x14ac:dyDescent="0.2">
      <c r="A499" s="114"/>
      <c r="B499" s="125"/>
      <c r="C499" s="23" t="s">
        <v>55</v>
      </c>
      <c r="D499" s="23" t="s">
        <v>189</v>
      </c>
      <c r="E499" s="23" t="s">
        <v>67</v>
      </c>
      <c r="F499" s="23" t="s">
        <v>103</v>
      </c>
      <c r="G499" s="23" t="s">
        <v>177</v>
      </c>
      <c r="H499" s="23" t="s">
        <v>190</v>
      </c>
      <c r="I499" s="23" t="s">
        <v>191</v>
      </c>
      <c r="J499" s="23" t="s">
        <v>192</v>
      </c>
      <c r="K499" s="23" t="s">
        <v>193</v>
      </c>
      <c r="L499" s="23" t="s">
        <v>108</v>
      </c>
      <c r="M499" s="23" t="s">
        <v>111</v>
      </c>
      <c r="N499" s="23" t="s">
        <v>194</v>
      </c>
      <c r="O499" s="23" t="s">
        <v>146</v>
      </c>
      <c r="P499" s="23" t="s">
        <v>115</v>
      </c>
      <c r="Q499" s="23" t="s">
        <v>149</v>
      </c>
      <c r="R499" s="23" t="s">
        <v>166</v>
      </c>
      <c r="S499" s="23" t="s">
        <v>151</v>
      </c>
      <c r="T499" s="23" t="s">
        <v>129</v>
      </c>
      <c r="U499" s="23" t="s">
        <v>195</v>
      </c>
      <c r="V499" s="23" t="s">
        <v>196</v>
      </c>
      <c r="W499" s="23" t="s">
        <v>197</v>
      </c>
      <c r="X499" s="23" t="s">
        <v>154</v>
      </c>
      <c r="Y499" s="23" t="s">
        <v>198</v>
      </c>
      <c r="Z499" s="23" t="s">
        <v>199</v>
      </c>
      <c r="AA499" s="23" t="s">
        <v>200</v>
      </c>
      <c r="AB499" s="7"/>
    </row>
    <row r="500" spans="1:28" x14ac:dyDescent="0.2">
      <c r="A500" s="114"/>
      <c r="B500" s="125"/>
      <c r="C500" s="23" t="s">
        <v>9</v>
      </c>
      <c r="D500" s="23" t="s">
        <v>189</v>
      </c>
      <c r="E500" s="23" t="s">
        <v>67</v>
      </c>
      <c r="F500" s="23" t="s">
        <v>103</v>
      </c>
      <c r="G500" s="23" t="s">
        <v>177</v>
      </c>
      <c r="H500" s="23" t="s">
        <v>190</v>
      </c>
      <c r="I500" s="23" t="s">
        <v>191</v>
      </c>
      <c r="J500" s="23" t="s">
        <v>192</v>
      </c>
      <c r="K500" s="23" t="s">
        <v>193</v>
      </c>
      <c r="L500" s="23" t="s">
        <v>108</v>
      </c>
      <c r="M500" s="23" t="s">
        <v>111</v>
      </c>
      <c r="N500" s="23" t="s">
        <v>194</v>
      </c>
      <c r="O500" s="23" t="s">
        <v>146</v>
      </c>
      <c r="P500" s="23" t="s">
        <v>115</v>
      </c>
      <c r="Q500" s="23" t="s">
        <v>149</v>
      </c>
      <c r="R500" s="23" t="s">
        <v>166</v>
      </c>
      <c r="S500" s="23" t="s">
        <v>151</v>
      </c>
      <c r="T500" s="23" t="s">
        <v>129</v>
      </c>
      <c r="U500" s="23" t="s">
        <v>195</v>
      </c>
      <c r="V500" s="23" t="s">
        <v>196</v>
      </c>
      <c r="W500" s="23" t="s">
        <v>197</v>
      </c>
      <c r="X500" s="23" t="s">
        <v>154</v>
      </c>
      <c r="Y500" s="23" t="s">
        <v>198</v>
      </c>
      <c r="Z500" s="23" t="s">
        <v>199</v>
      </c>
      <c r="AA500" s="23" t="s">
        <v>200</v>
      </c>
      <c r="AB500" s="7"/>
    </row>
    <row r="501" spans="1:28" x14ac:dyDescent="0.2">
      <c r="A501" s="114"/>
      <c r="B501" s="8"/>
      <c r="AB501" s="7"/>
    </row>
    <row r="502" spans="1:28" x14ac:dyDescent="0.2">
      <c r="A502" s="114"/>
      <c r="B502" s="8"/>
      <c r="AB502" s="7"/>
    </row>
    <row r="503" spans="1:28" x14ac:dyDescent="0.2">
      <c r="A503" s="114"/>
      <c r="C503" s="14"/>
      <c r="D503" s="24" t="s">
        <v>47</v>
      </c>
      <c r="E503" s="24" t="s">
        <v>48</v>
      </c>
      <c r="F503" s="24" t="s">
        <v>49</v>
      </c>
      <c r="G503" s="24" t="s">
        <v>50</v>
      </c>
      <c r="H503" s="24" t="s">
        <v>51</v>
      </c>
      <c r="I503" s="24" t="s">
        <v>52</v>
      </c>
      <c r="J503" s="24" t="s">
        <v>53</v>
      </c>
      <c r="K503" s="35">
        <v>0.01</v>
      </c>
      <c r="L503" s="35">
        <v>0.05</v>
      </c>
      <c r="M503" s="35">
        <v>0.1</v>
      </c>
      <c r="N503" s="35">
        <v>0.2</v>
      </c>
      <c r="O503" s="36">
        <v>0.3</v>
      </c>
      <c r="P503" s="36">
        <v>0.4</v>
      </c>
      <c r="Q503" s="36">
        <v>0.5</v>
      </c>
      <c r="R503" s="36">
        <v>0.6</v>
      </c>
      <c r="S503" s="36">
        <v>0.7</v>
      </c>
      <c r="T503" s="36">
        <v>0.8</v>
      </c>
      <c r="U503" s="36">
        <v>0.9</v>
      </c>
      <c r="V503" s="36">
        <v>0.95</v>
      </c>
      <c r="W503" s="36">
        <v>0.99</v>
      </c>
      <c r="X503" s="35">
        <v>0.995</v>
      </c>
      <c r="Y503" s="35">
        <v>0.999</v>
      </c>
      <c r="Z503" s="35">
        <v>0.99950000000000006</v>
      </c>
      <c r="AA503" s="35">
        <v>0.99990000000000001</v>
      </c>
      <c r="AB503" s="7"/>
    </row>
    <row r="504" spans="1:28" x14ac:dyDescent="0.2">
      <c r="A504" s="114"/>
      <c r="B504" s="128" t="s">
        <v>420</v>
      </c>
      <c r="C504" s="24" t="s">
        <v>54</v>
      </c>
      <c r="D504" s="24">
        <f>28.2</f>
        <v>28.2</v>
      </c>
      <c r="E504" s="24">
        <v>883</v>
      </c>
      <c r="F504" s="24">
        <f>926</f>
        <v>926</v>
      </c>
      <c r="G504" s="24" t="s">
        <v>82</v>
      </c>
      <c r="H504" s="24" t="s">
        <v>83</v>
      </c>
      <c r="I504" s="24" t="s">
        <v>84</v>
      </c>
      <c r="J504" s="24" t="s">
        <v>85</v>
      </c>
      <c r="K504" s="37" t="s">
        <v>68</v>
      </c>
      <c r="L504" s="37" t="s">
        <v>86</v>
      </c>
      <c r="M504" s="37" t="s">
        <v>86</v>
      </c>
      <c r="N504" s="37" t="s">
        <v>87</v>
      </c>
      <c r="O504" s="37" t="s">
        <v>87</v>
      </c>
      <c r="P504" s="37" t="s">
        <v>88</v>
      </c>
      <c r="Q504" s="37" t="s">
        <v>89</v>
      </c>
      <c r="R504" s="37" t="s">
        <v>242</v>
      </c>
      <c r="S504" s="37" t="s">
        <v>243</v>
      </c>
      <c r="T504" s="37" t="s">
        <v>252</v>
      </c>
      <c r="U504" s="37" t="s">
        <v>254</v>
      </c>
      <c r="V504" s="37" t="s">
        <v>75</v>
      </c>
      <c r="W504" s="37" t="s">
        <v>108</v>
      </c>
      <c r="X504" s="37" t="s">
        <v>111</v>
      </c>
      <c r="Y504" s="37" t="s">
        <v>168</v>
      </c>
      <c r="Z504" s="37" t="s">
        <v>227</v>
      </c>
      <c r="AA504" s="37" t="s">
        <v>425</v>
      </c>
      <c r="AB504" s="7"/>
    </row>
    <row r="505" spans="1:28" x14ac:dyDescent="0.2">
      <c r="A505" s="114"/>
      <c r="B505" s="128"/>
      <c r="C505" s="24" t="s">
        <v>57</v>
      </c>
      <c r="D505" s="58">
        <f>D504*1.1111</f>
        <v>31.333019999999998</v>
      </c>
      <c r="E505" s="58">
        <f>E504*1.1111</f>
        <v>981.10129999999992</v>
      </c>
      <c r="F505" s="24"/>
      <c r="G505" s="24"/>
      <c r="H505" s="24"/>
      <c r="I505" s="24"/>
      <c r="J505" s="24"/>
      <c r="K505" s="24">
        <v>22</v>
      </c>
      <c r="L505" s="24">
        <v>22</v>
      </c>
      <c r="M505" s="24">
        <v>23</v>
      </c>
      <c r="N505" s="24">
        <v>23</v>
      </c>
      <c r="O505" s="24">
        <v>28</v>
      </c>
      <c r="P505" s="24">
        <v>29</v>
      </c>
      <c r="Q505" s="24">
        <v>30</v>
      </c>
      <c r="R505" s="24">
        <v>30</v>
      </c>
      <c r="S505" s="24">
        <v>31</v>
      </c>
      <c r="T505" s="24">
        <v>31</v>
      </c>
      <c r="U505" s="24">
        <v>32</v>
      </c>
      <c r="V505" s="24">
        <v>37</v>
      </c>
      <c r="W505" s="24">
        <v>103</v>
      </c>
      <c r="X505" s="24">
        <v>110</v>
      </c>
      <c r="Y505" s="24">
        <v>187</v>
      </c>
      <c r="Z505" s="24">
        <v>199</v>
      </c>
      <c r="AA505" s="24">
        <v>287</v>
      </c>
      <c r="AB505" s="7"/>
    </row>
    <row r="506" spans="1:28" x14ac:dyDescent="0.2">
      <c r="A506" s="114"/>
      <c r="B506" s="128"/>
      <c r="C506" s="24" t="s">
        <v>56</v>
      </c>
      <c r="D506" s="69">
        <f>D504*E506/E504</f>
        <v>6.1350169875424685</v>
      </c>
      <c r="E506" s="24">
        <v>192.1</v>
      </c>
      <c r="F506" s="24"/>
      <c r="G506" s="24"/>
      <c r="H506" s="24"/>
      <c r="I506" s="24"/>
      <c r="J506" s="24"/>
      <c r="K506" s="57">
        <f>K34*E34/E506</f>
        <v>133.29740433390222</v>
      </c>
      <c r="L506" s="57">
        <f>L34*E34/E506</f>
        <v>137.89386655231266</v>
      </c>
      <c r="M506" s="57">
        <f>M34*E34/E506</f>
        <v>137.89386655231266</v>
      </c>
      <c r="N506" s="57">
        <f>N34*E34/E506</f>
        <v>142.49032877072307</v>
      </c>
      <c r="O506" s="57">
        <f>O34*E34/E506</f>
        <v>142.49032877072307</v>
      </c>
      <c r="P506" s="57">
        <f>P34*E34/E506</f>
        <v>147.0867909891335</v>
      </c>
      <c r="Q506" s="57">
        <f>Q34*E34/E506</f>
        <v>151.68325320754391</v>
      </c>
      <c r="R506" s="57">
        <f>R34*E34/E506</f>
        <v>156.27971542595432</v>
      </c>
      <c r="S506" s="57">
        <f>S34*E34/E506</f>
        <v>160.87617764436476</v>
      </c>
      <c r="T506" s="57">
        <f>T34*E34/E506</f>
        <v>165.47263986277517</v>
      </c>
      <c r="U506" s="57">
        <f>U34*E34/E506</f>
        <v>174.66556429959601</v>
      </c>
      <c r="V506" s="57">
        <f>V34*E34/E506</f>
        <v>216.03372426528981</v>
      </c>
      <c r="W506" s="57">
        <f>W34*E34/E506</f>
        <v>280.38419532303573</v>
      </c>
      <c r="X506" s="57">
        <f>X34*E34/E506</f>
        <v>574.3279541905257</v>
      </c>
      <c r="Y506" s="57">
        <f>Y34*E34/E506</f>
        <v>726.7006767308693</v>
      </c>
      <c r="Z506" s="57">
        <f>Z34*E34/E506</f>
        <v>876.1431546069756</v>
      </c>
      <c r="AA506" s="57">
        <f>AA34*E34/E506</f>
        <v>1485.6340447683499</v>
      </c>
      <c r="AB506" s="7"/>
    </row>
    <row r="507" spans="1:28" x14ac:dyDescent="0.2">
      <c r="A507" s="114"/>
      <c r="B507" s="128"/>
      <c r="C507" s="24" t="s">
        <v>55</v>
      </c>
      <c r="D507" s="58">
        <f>D508*E507/E508</f>
        <v>20.598399999999998</v>
      </c>
      <c r="E507" s="58">
        <f>E508*0.656</f>
        <v>643.53600000000006</v>
      </c>
      <c r="F507" s="24"/>
      <c r="G507" s="24"/>
      <c r="H507" s="24"/>
      <c r="I507" s="24"/>
      <c r="J507" s="24"/>
      <c r="K507" s="24" t="s">
        <v>95</v>
      </c>
      <c r="L507" s="24" t="s">
        <v>98</v>
      </c>
      <c r="M507" s="24" t="s">
        <v>81</v>
      </c>
      <c r="N507" s="24" t="s">
        <v>87</v>
      </c>
      <c r="O507" s="24" t="s">
        <v>89</v>
      </c>
      <c r="P507" s="24" t="s">
        <v>252</v>
      </c>
      <c r="Q507" s="24" t="s">
        <v>70</v>
      </c>
      <c r="R507" s="24" t="s">
        <v>73</v>
      </c>
      <c r="S507" s="24" t="s">
        <v>177</v>
      </c>
      <c r="T507" s="24" t="s">
        <v>498</v>
      </c>
      <c r="U507" s="24" t="s">
        <v>140</v>
      </c>
      <c r="V507" s="24" t="s">
        <v>516</v>
      </c>
      <c r="W507" s="24" t="s">
        <v>417</v>
      </c>
      <c r="X507" s="24" t="s">
        <v>519</v>
      </c>
      <c r="Y507" s="24" t="s">
        <v>547</v>
      </c>
      <c r="Z507" s="24" t="s">
        <v>338</v>
      </c>
      <c r="AA507" s="24" t="s">
        <v>766</v>
      </c>
      <c r="AB507" s="7"/>
    </row>
    <row r="508" spans="1:28" x14ac:dyDescent="0.2">
      <c r="A508" s="114"/>
      <c r="B508" s="128"/>
      <c r="C508" s="24" t="s">
        <v>9</v>
      </c>
      <c r="D508" s="24">
        <v>31.4</v>
      </c>
      <c r="E508" s="24" t="s">
        <v>511</v>
      </c>
      <c r="F508" s="24" t="s">
        <v>512</v>
      </c>
      <c r="G508" s="24" t="s">
        <v>94</v>
      </c>
      <c r="H508" s="24" t="s">
        <v>513</v>
      </c>
      <c r="I508" s="24" t="s">
        <v>514</v>
      </c>
      <c r="J508" s="24" t="s">
        <v>515</v>
      </c>
      <c r="K508" s="24" t="s">
        <v>96</v>
      </c>
      <c r="L508" s="24" t="s">
        <v>96</v>
      </c>
      <c r="M508" s="24" t="s">
        <v>97</v>
      </c>
      <c r="N508" s="24" t="s">
        <v>97</v>
      </c>
      <c r="O508" s="24" t="s">
        <v>68</v>
      </c>
      <c r="P508" s="24" t="s">
        <v>86</v>
      </c>
      <c r="Q508" s="24" t="s">
        <v>87</v>
      </c>
      <c r="R508" s="24" t="s">
        <v>87</v>
      </c>
      <c r="S508" s="24" t="s">
        <v>88</v>
      </c>
      <c r="T508" s="24" t="s">
        <v>88</v>
      </c>
      <c r="U508" s="24" t="s">
        <v>89</v>
      </c>
      <c r="V508" s="24" t="s">
        <v>254</v>
      </c>
      <c r="W508" s="24" t="s">
        <v>368</v>
      </c>
      <c r="X508" s="24" t="s">
        <v>169</v>
      </c>
      <c r="Y508" s="24" t="s">
        <v>171</v>
      </c>
      <c r="Z508" s="24" t="s">
        <v>516</v>
      </c>
      <c r="AA508" s="24" t="s">
        <v>403</v>
      </c>
      <c r="AB508" s="7"/>
    </row>
    <row r="509" spans="1:28" x14ac:dyDescent="0.2">
      <c r="A509" s="1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AB509" s="7"/>
    </row>
    <row r="510" spans="1:28" x14ac:dyDescent="0.2">
      <c r="A510" s="114"/>
      <c r="C510" s="14"/>
      <c r="D510" s="24" t="s">
        <v>47</v>
      </c>
      <c r="E510" s="24" t="s">
        <v>48</v>
      </c>
      <c r="F510" s="24" t="s">
        <v>49</v>
      </c>
      <c r="G510" s="24" t="s">
        <v>50</v>
      </c>
      <c r="H510" s="24" t="s">
        <v>51</v>
      </c>
      <c r="I510" s="24" t="s">
        <v>52</v>
      </c>
      <c r="J510" s="24" t="s">
        <v>53</v>
      </c>
      <c r="K510" s="35">
        <v>0.01</v>
      </c>
      <c r="L510" s="35">
        <v>0.05</v>
      </c>
      <c r="M510" s="35">
        <v>0.1</v>
      </c>
      <c r="N510" s="35">
        <v>0.2</v>
      </c>
      <c r="O510" s="36">
        <v>0.3</v>
      </c>
      <c r="P510" s="36">
        <v>0.4</v>
      </c>
      <c r="Q510" s="36">
        <v>0.5</v>
      </c>
      <c r="R510" s="36">
        <v>0.6</v>
      </c>
      <c r="S510" s="36">
        <v>0.7</v>
      </c>
      <c r="T510" s="36">
        <v>0.8</v>
      </c>
      <c r="U510" s="36">
        <v>0.9</v>
      </c>
      <c r="V510" s="36">
        <v>0.95</v>
      </c>
      <c r="W510" s="36">
        <v>0.99</v>
      </c>
      <c r="X510" s="35">
        <v>0.995</v>
      </c>
      <c r="Y510" s="35">
        <v>0.999</v>
      </c>
      <c r="Z510" s="35">
        <v>0.99950000000000006</v>
      </c>
      <c r="AA510" s="35">
        <v>0.99990000000000001</v>
      </c>
      <c r="AB510" s="7"/>
    </row>
    <row r="511" spans="1:28" x14ac:dyDescent="0.2">
      <c r="A511" s="114"/>
      <c r="B511" s="128" t="s">
        <v>421</v>
      </c>
      <c r="C511" s="24" t="s">
        <v>54</v>
      </c>
      <c r="D511" s="37">
        <v>37.4</v>
      </c>
      <c r="E511" s="37" t="s">
        <v>598</v>
      </c>
      <c r="F511" s="37" t="s">
        <v>599</v>
      </c>
      <c r="G511" s="37" t="s">
        <v>452</v>
      </c>
      <c r="H511" s="37" t="s">
        <v>600</v>
      </c>
      <c r="I511" s="37" t="s">
        <v>601</v>
      </c>
      <c r="J511" s="37"/>
      <c r="K511" s="37" t="s">
        <v>95</v>
      </c>
      <c r="L511" s="37" t="s">
        <v>95</v>
      </c>
      <c r="M511" s="37" t="s">
        <v>251</v>
      </c>
      <c r="N511" s="37" t="s">
        <v>251</v>
      </c>
      <c r="O511" s="37" t="s">
        <v>96</v>
      </c>
      <c r="P511" s="37" t="s">
        <v>96</v>
      </c>
      <c r="Q511" s="37" t="s">
        <v>97</v>
      </c>
      <c r="R511" s="37" t="s">
        <v>82</v>
      </c>
      <c r="S511" s="37" t="s">
        <v>68</v>
      </c>
      <c r="T511" s="37" t="s">
        <v>86</v>
      </c>
      <c r="U511" s="37" t="s">
        <v>87</v>
      </c>
      <c r="V511" s="37" t="s">
        <v>244</v>
      </c>
      <c r="W511" s="37" t="s">
        <v>74</v>
      </c>
      <c r="X511" s="37" t="s">
        <v>233</v>
      </c>
      <c r="Y511" s="37" t="s">
        <v>110</v>
      </c>
      <c r="Z511" s="37" t="s">
        <v>207</v>
      </c>
      <c r="AA511" s="37" t="s">
        <v>425</v>
      </c>
      <c r="AB511" s="7"/>
    </row>
    <row r="512" spans="1:28" x14ac:dyDescent="0.2">
      <c r="A512" s="114"/>
      <c r="B512" s="128"/>
      <c r="C512" s="24" t="s">
        <v>57</v>
      </c>
      <c r="D512" s="58">
        <f>D515*E512/E515</f>
        <v>36.825604297224707</v>
      </c>
      <c r="E512" s="24">
        <v>1149</v>
      </c>
      <c r="F512" s="24"/>
      <c r="G512" s="24"/>
      <c r="H512" s="24"/>
      <c r="I512" s="24"/>
      <c r="J512" s="24"/>
      <c r="K512" s="24"/>
      <c r="L512" s="24"/>
      <c r="M512" s="24"/>
      <c r="N512" s="24"/>
      <c r="O512" s="24"/>
      <c r="P512" s="24"/>
      <c r="Q512" s="24"/>
      <c r="R512" s="24"/>
      <c r="S512" s="24"/>
      <c r="T512" s="24"/>
      <c r="U512" s="24"/>
      <c r="V512" s="24"/>
      <c r="W512" s="24"/>
      <c r="X512" s="24"/>
      <c r="Y512" s="24"/>
      <c r="Z512" s="24"/>
      <c r="AA512" s="24"/>
      <c r="AB512" s="7"/>
    </row>
    <row r="513" spans="1:28" x14ac:dyDescent="0.2">
      <c r="A513" s="114"/>
      <c r="B513" s="128"/>
      <c r="C513" s="24" t="s">
        <v>56</v>
      </c>
      <c r="D513" s="58">
        <f>D511*E513/E511</f>
        <v>16.03170874198447</v>
      </c>
      <c r="E513" s="58">
        <f>E506*E271</f>
        <v>501.0980620155039</v>
      </c>
      <c r="F513" s="24"/>
      <c r="G513" s="24"/>
      <c r="H513" s="24"/>
      <c r="I513" s="24"/>
      <c r="J513" s="24"/>
      <c r="K513" s="24"/>
      <c r="L513" s="24"/>
      <c r="M513" s="24"/>
      <c r="N513" s="24"/>
      <c r="O513" s="24"/>
      <c r="P513" s="24"/>
      <c r="Q513" s="24"/>
      <c r="R513" s="24"/>
      <c r="S513" s="24"/>
      <c r="T513" s="24"/>
      <c r="U513" s="24"/>
      <c r="V513" s="24"/>
      <c r="W513" s="24"/>
      <c r="X513" s="24"/>
      <c r="Y513" s="24"/>
      <c r="Z513" s="24"/>
      <c r="AA513" s="24"/>
      <c r="AB513" s="7"/>
    </row>
    <row r="514" spans="1:28" x14ac:dyDescent="0.2">
      <c r="A514" s="114"/>
      <c r="B514" s="128"/>
      <c r="C514" s="24" t="s">
        <v>55</v>
      </c>
      <c r="D514" s="58">
        <f>D515*E514/E515</f>
        <v>23.4848</v>
      </c>
      <c r="E514" s="57">
        <f>E507*E515/E508</f>
        <v>732.75200000000007</v>
      </c>
      <c r="F514" s="24"/>
      <c r="G514" s="24"/>
      <c r="H514" s="24"/>
      <c r="I514" s="24"/>
      <c r="J514" s="24"/>
      <c r="K514" s="24"/>
      <c r="L514" s="24"/>
      <c r="M514" s="24"/>
      <c r="N514" s="24"/>
      <c r="O514" s="24"/>
      <c r="P514" s="24"/>
      <c r="Q514" s="24"/>
      <c r="R514" s="24"/>
      <c r="S514" s="24"/>
      <c r="T514" s="24"/>
      <c r="U514" s="24"/>
      <c r="V514" s="24"/>
      <c r="W514" s="24"/>
      <c r="X514" s="24"/>
      <c r="Y514" s="24"/>
      <c r="Z514" s="24"/>
      <c r="AA514" s="24"/>
      <c r="AB514" s="7"/>
    </row>
    <row r="515" spans="1:28" x14ac:dyDescent="0.2">
      <c r="A515" s="114"/>
      <c r="B515" s="128"/>
      <c r="C515" s="24" t="s">
        <v>9</v>
      </c>
      <c r="D515" s="24">
        <v>35.799999999999997</v>
      </c>
      <c r="E515" s="24">
        <v>1117</v>
      </c>
      <c r="F515" s="24"/>
      <c r="G515" s="24"/>
      <c r="H515" s="24"/>
      <c r="I515" s="24"/>
      <c r="J515" s="24"/>
      <c r="K515" s="24"/>
      <c r="L515" s="24"/>
      <c r="M515" s="24"/>
      <c r="N515" s="24"/>
      <c r="O515" s="24"/>
      <c r="P515" s="24"/>
      <c r="Q515" s="24"/>
      <c r="R515" s="24"/>
      <c r="S515" s="24"/>
      <c r="T515" s="24"/>
      <c r="U515" s="24"/>
      <c r="V515" s="24"/>
      <c r="W515" s="24"/>
      <c r="X515" s="24"/>
      <c r="Y515" s="24"/>
      <c r="Z515" s="24"/>
      <c r="AA515" s="24"/>
      <c r="AB515" s="7"/>
    </row>
    <row r="516" spans="1:28" x14ac:dyDescent="0.2">
      <c r="A516" s="1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AB516" s="7"/>
    </row>
    <row r="517" spans="1:28" x14ac:dyDescent="0.2">
      <c r="A517" s="114"/>
      <c r="C517" s="14"/>
      <c r="D517" s="24" t="s">
        <v>47</v>
      </c>
      <c r="E517" s="24" t="s">
        <v>48</v>
      </c>
      <c r="F517" s="24" t="s">
        <v>49</v>
      </c>
      <c r="G517" s="24" t="s">
        <v>50</v>
      </c>
      <c r="H517" s="24" t="s">
        <v>51</v>
      </c>
      <c r="I517" s="24" t="s">
        <v>52</v>
      </c>
      <c r="J517" s="24" t="s">
        <v>53</v>
      </c>
      <c r="K517" s="35">
        <v>0.01</v>
      </c>
      <c r="L517" s="35">
        <v>0.05</v>
      </c>
      <c r="M517" s="35">
        <v>0.1</v>
      </c>
      <c r="N517" s="35">
        <v>0.2</v>
      </c>
      <c r="O517" s="36">
        <v>0.3</v>
      </c>
      <c r="P517" s="36">
        <v>0.4</v>
      </c>
      <c r="Q517" s="36">
        <v>0.5</v>
      </c>
      <c r="R517" s="36">
        <v>0.6</v>
      </c>
      <c r="S517" s="36">
        <v>0.7</v>
      </c>
      <c r="T517" s="36">
        <v>0.8</v>
      </c>
      <c r="U517" s="36">
        <v>0.9</v>
      </c>
      <c r="V517" s="36">
        <v>0.95</v>
      </c>
      <c r="W517" s="36">
        <v>0.99</v>
      </c>
      <c r="X517" s="35">
        <v>0.995</v>
      </c>
      <c r="Y517" s="35">
        <v>0.999</v>
      </c>
      <c r="Z517" s="35">
        <v>0.99950000000000006</v>
      </c>
      <c r="AA517" s="35">
        <v>0.99990000000000001</v>
      </c>
      <c r="AB517" s="7"/>
    </row>
    <row r="518" spans="1:28" x14ac:dyDescent="0.2">
      <c r="A518" s="114"/>
      <c r="B518" s="128" t="s">
        <v>422</v>
      </c>
      <c r="C518" s="24" t="s">
        <v>54</v>
      </c>
      <c r="D518" s="24">
        <v>39.9</v>
      </c>
      <c r="E518" s="24" t="s">
        <v>602</v>
      </c>
      <c r="F518" s="24" t="s">
        <v>603</v>
      </c>
      <c r="G518" s="24" t="s">
        <v>265</v>
      </c>
      <c r="H518" s="24" t="s">
        <v>604</v>
      </c>
      <c r="I518" s="24" t="s">
        <v>605</v>
      </c>
      <c r="J518" s="24" t="s">
        <v>606</v>
      </c>
      <c r="K518" s="24" t="s">
        <v>251</v>
      </c>
      <c r="L518" s="24" t="s">
        <v>98</v>
      </c>
      <c r="M518" s="24" t="s">
        <v>241</v>
      </c>
      <c r="N518" s="24" t="s">
        <v>68</v>
      </c>
      <c r="O518" s="24" t="s">
        <v>87</v>
      </c>
      <c r="P518" s="24" t="s">
        <v>89</v>
      </c>
      <c r="Q518" s="24" t="s">
        <v>244</v>
      </c>
      <c r="R518" s="24" t="s">
        <v>456</v>
      </c>
      <c r="S518" s="24" t="s">
        <v>72</v>
      </c>
      <c r="T518" s="24" t="s">
        <v>73</v>
      </c>
      <c r="U518" s="24" t="s">
        <v>177</v>
      </c>
      <c r="V518" s="24" t="s">
        <v>76</v>
      </c>
      <c r="W518" s="24" t="s">
        <v>194</v>
      </c>
      <c r="X518" s="24" t="s">
        <v>147</v>
      </c>
      <c r="Y518" s="24" t="s">
        <v>124</v>
      </c>
      <c r="Z518" s="24" t="s">
        <v>237</v>
      </c>
      <c r="AA518" s="24" t="s">
        <v>498</v>
      </c>
      <c r="AB518" s="7"/>
    </row>
    <row r="519" spans="1:28" x14ac:dyDescent="0.2">
      <c r="A519" s="114"/>
      <c r="B519" s="128"/>
      <c r="C519" s="24" t="s">
        <v>57</v>
      </c>
      <c r="D519" s="58">
        <f>D522*E519/E522</f>
        <v>41.623461853978668</v>
      </c>
      <c r="E519" s="24">
        <v>1301</v>
      </c>
      <c r="F519" s="24"/>
      <c r="G519" s="24"/>
      <c r="H519" s="24"/>
      <c r="I519" s="24"/>
      <c r="J519" s="24"/>
      <c r="K519" s="24"/>
      <c r="L519" s="24"/>
      <c r="M519" s="24"/>
      <c r="N519" s="24"/>
      <c r="O519" s="24"/>
      <c r="P519" s="24"/>
      <c r="Q519" s="24"/>
      <c r="R519" s="24"/>
      <c r="S519" s="24"/>
      <c r="T519" s="24"/>
      <c r="U519" s="24"/>
      <c r="V519" s="24"/>
      <c r="W519" s="24"/>
      <c r="X519" s="24"/>
      <c r="Y519" s="24"/>
      <c r="Z519" s="24"/>
      <c r="AA519" s="24"/>
      <c r="AB519" s="7"/>
    </row>
    <row r="520" spans="1:28" x14ac:dyDescent="0.2">
      <c r="A520" s="114"/>
      <c r="B520" s="128"/>
      <c r="C520" s="24" t="s">
        <v>56</v>
      </c>
      <c r="D520" s="58">
        <f>D518*E520/E518</f>
        <v>23.847792189627196</v>
      </c>
      <c r="E520" s="58">
        <f>E506*E272</f>
        <v>745.31821705426353</v>
      </c>
      <c r="F520" s="24"/>
      <c r="G520" s="24"/>
      <c r="H520" s="24"/>
      <c r="I520" s="24"/>
      <c r="J520" s="24"/>
      <c r="K520" s="24"/>
      <c r="L520" s="24"/>
      <c r="M520" s="24"/>
      <c r="N520" s="24"/>
      <c r="O520" s="24"/>
      <c r="P520" s="24"/>
      <c r="Q520" s="24"/>
      <c r="R520" s="24"/>
      <c r="S520" s="24"/>
      <c r="T520" s="24"/>
      <c r="U520" s="24"/>
      <c r="V520" s="24"/>
      <c r="W520" s="24"/>
      <c r="X520" s="24"/>
      <c r="Y520" s="24"/>
      <c r="Z520" s="24"/>
      <c r="AA520" s="24"/>
      <c r="AB520" s="7"/>
    </row>
    <row r="521" spans="1:28" x14ac:dyDescent="0.2">
      <c r="A521" s="114"/>
      <c r="B521" s="128"/>
      <c r="C521" s="24" t="s">
        <v>55</v>
      </c>
      <c r="D521" s="58">
        <f>D522*E521/E522</f>
        <v>25.584000000000003</v>
      </c>
      <c r="E521" s="58">
        <f>E507*E522/E508</f>
        <v>799.6640000000001</v>
      </c>
      <c r="F521" s="24"/>
      <c r="G521" s="24"/>
      <c r="H521" s="24"/>
      <c r="I521" s="24"/>
      <c r="J521" s="24"/>
      <c r="K521" s="24"/>
      <c r="L521" s="24"/>
      <c r="M521" s="24"/>
      <c r="N521" s="24"/>
      <c r="O521" s="24"/>
      <c r="P521" s="24"/>
      <c r="Q521" s="24"/>
      <c r="R521" s="24"/>
      <c r="S521" s="24"/>
      <c r="T521" s="24"/>
      <c r="U521" s="24"/>
      <c r="V521" s="24"/>
      <c r="W521" s="24"/>
      <c r="X521" s="24"/>
      <c r="Y521" s="24"/>
      <c r="Z521" s="24"/>
      <c r="AA521" s="24"/>
      <c r="AB521" s="7"/>
    </row>
    <row r="522" spans="1:28" x14ac:dyDescent="0.2">
      <c r="A522" s="114"/>
      <c r="B522" s="128"/>
      <c r="C522" s="24" t="s">
        <v>9</v>
      </c>
      <c r="D522" s="24">
        <v>39</v>
      </c>
      <c r="E522" s="24">
        <v>1219</v>
      </c>
      <c r="F522" s="24"/>
      <c r="G522" s="24"/>
      <c r="H522" s="24"/>
      <c r="I522" s="24"/>
      <c r="J522" s="24"/>
      <c r="K522" s="24"/>
      <c r="L522" s="24"/>
      <c r="M522" s="24"/>
      <c r="N522" s="24"/>
      <c r="O522" s="24"/>
      <c r="P522" s="24"/>
      <c r="Q522" s="24"/>
      <c r="R522" s="24"/>
      <c r="S522" s="24"/>
      <c r="T522" s="24"/>
      <c r="U522" s="24"/>
      <c r="V522" s="24"/>
      <c r="W522" s="24"/>
      <c r="X522" s="24"/>
      <c r="Y522" s="24"/>
      <c r="Z522" s="24"/>
      <c r="AA522" s="24"/>
      <c r="AB522" s="7"/>
    </row>
    <row r="523" spans="1:28" x14ac:dyDescent="0.2">
      <c r="A523" s="1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AB523" s="7"/>
    </row>
    <row r="524" spans="1:28" x14ac:dyDescent="0.2">
      <c r="A524" s="114"/>
      <c r="C524" s="14"/>
      <c r="D524" s="24" t="s">
        <v>47</v>
      </c>
      <c r="E524" s="24" t="s">
        <v>48</v>
      </c>
      <c r="F524" s="24" t="s">
        <v>49</v>
      </c>
      <c r="G524" s="24" t="s">
        <v>50</v>
      </c>
      <c r="H524" s="24" t="s">
        <v>51</v>
      </c>
      <c r="I524" s="24" t="s">
        <v>52</v>
      </c>
      <c r="J524" s="24" t="s">
        <v>53</v>
      </c>
      <c r="K524" s="35">
        <v>0.01</v>
      </c>
      <c r="L524" s="35">
        <v>0.05</v>
      </c>
      <c r="M524" s="35">
        <v>0.1</v>
      </c>
      <c r="N524" s="35">
        <v>0.2</v>
      </c>
      <c r="O524" s="36">
        <v>0.3</v>
      </c>
      <c r="P524" s="36">
        <v>0.4</v>
      </c>
      <c r="Q524" s="36">
        <v>0.5</v>
      </c>
      <c r="R524" s="36">
        <v>0.6</v>
      </c>
      <c r="S524" s="36">
        <v>0.7</v>
      </c>
      <c r="T524" s="36">
        <v>0.8</v>
      </c>
      <c r="U524" s="36">
        <v>0.9</v>
      </c>
      <c r="V524" s="36">
        <v>0.95</v>
      </c>
      <c r="W524" s="36">
        <v>0.99</v>
      </c>
      <c r="X524" s="35">
        <v>0.995</v>
      </c>
      <c r="Y524" s="35">
        <v>0.999</v>
      </c>
      <c r="Z524" s="35">
        <v>0.99950000000000006</v>
      </c>
      <c r="AA524" s="35">
        <v>0.99990000000000001</v>
      </c>
      <c r="AB524" s="7"/>
    </row>
    <row r="525" spans="1:28" x14ac:dyDescent="0.2">
      <c r="A525" s="114"/>
      <c r="B525" s="128" t="s">
        <v>423</v>
      </c>
      <c r="C525" s="24" t="s">
        <v>54</v>
      </c>
      <c r="D525" s="24">
        <v>45.3</v>
      </c>
      <c r="E525" s="24" t="s">
        <v>607</v>
      </c>
      <c r="F525" s="24" t="s">
        <v>608</v>
      </c>
      <c r="G525" s="24" t="s">
        <v>93</v>
      </c>
      <c r="H525" s="24" t="s">
        <v>609</v>
      </c>
      <c r="I525" s="24" t="s">
        <v>610</v>
      </c>
      <c r="J525" s="24"/>
      <c r="K525" s="24" t="s">
        <v>251</v>
      </c>
      <c r="L525" s="24" t="s">
        <v>98</v>
      </c>
      <c r="M525" s="24" t="s">
        <v>241</v>
      </c>
      <c r="N525" s="24" t="s">
        <v>81</v>
      </c>
      <c r="O525" s="24" t="s">
        <v>68</v>
      </c>
      <c r="P525" s="24" t="s">
        <v>87</v>
      </c>
      <c r="Q525" s="24" t="s">
        <v>89</v>
      </c>
      <c r="R525" s="24" t="s">
        <v>242</v>
      </c>
      <c r="S525" s="24" t="s">
        <v>243</v>
      </c>
      <c r="T525" s="24" t="s">
        <v>244</v>
      </c>
      <c r="U525" s="24" t="s">
        <v>456</v>
      </c>
      <c r="V525" s="24" t="s">
        <v>73</v>
      </c>
      <c r="W525" s="24" t="s">
        <v>193</v>
      </c>
      <c r="X525" s="24" t="s">
        <v>110</v>
      </c>
      <c r="Y525" s="24" t="s">
        <v>148</v>
      </c>
      <c r="Z525" s="24" t="s">
        <v>217</v>
      </c>
      <c r="AA525" s="24" t="s">
        <v>409</v>
      </c>
      <c r="AB525" s="7"/>
    </row>
    <row r="526" spans="1:28" x14ac:dyDescent="0.2">
      <c r="A526" s="114"/>
      <c r="B526" s="128"/>
      <c r="C526" s="24" t="s">
        <v>57</v>
      </c>
      <c r="D526" s="58">
        <f>D529*E526/E529</f>
        <v>48.003558191252779</v>
      </c>
      <c r="E526" s="24">
        <v>1499</v>
      </c>
      <c r="F526" s="24"/>
      <c r="G526" s="24"/>
      <c r="H526" s="24"/>
      <c r="I526" s="24"/>
      <c r="J526" s="24"/>
      <c r="K526" s="24"/>
      <c r="L526" s="24"/>
      <c r="M526" s="24"/>
      <c r="N526" s="24"/>
      <c r="O526" s="24"/>
      <c r="P526" s="24"/>
      <c r="Q526" s="24"/>
      <c r="R526" s="24"/>
      <c r="S526" s="24"/>
      <c r="T526" s="24"/>
      <c r="U526" s="24"/>
      <c r="V526" s="24"/>
      <c r="W526" s="24"/>
      <c r="X526" s="24"/>
      <c r="Y526" s="24"/>
      <c r="Z526" s="24"/>
      <c r="AA526" s="24"/>
      <c r="AB526" s="7"/>
    </row>
    <row r="527" spans="1:28" x14ac:dyDescent="0.2">
      <c r="A527" s="114"/>
      <c r="B527" s="128"/>
      <c r="C527" s="24" t="s">
        <v>56</v>
      </c>
      <c r="D527" s="58">
        <f>D525*E527/E525</f>
        <v>28.131475085402702</v>
      </c>
      <c r="E527" s="58">
        <f>E506*E273</f>
        <v>879.34147286821701</v>
      </c>
      <c r="F527" s="24"/>
      <c r="G527" s="24"/>
      <c r="H527" s="24"/>
      <c r="I527" s="24"/>
      <c r="J527" s="24"/>
      <c r="K527" s="24"/>
      <c r="L527" s="24"/>
      <c r="M527" s="24"/>
      <c r="N527" s="24"/>
      <c r="O527" s="24"/>
      <c r="P527" s="24"/>
      <c r="Q527" s="24"/>
      <c r="R527" s="24"/>
      <c r="S527" s="24"/>
      <c r="T527" s="24"/>
      <c r="U527" s="24"/>
      <c r="V527" s="24"/>
      <c r="W527" s="24"/>
      <c r="X527" s="24"/>
      <c r="Y527" s="24"/>
      <c r="Z527" s="24"/>
      <c r="AA527" s="24"/>
      <c r="AB527" s="7"/>
    </row>
    <row r="528" spans="1:28" x14ac:dyDescent="0.2">
      <c r="A528" s="114"/>
      <c r="B528" s="128"/>
      <c r="C528" s="24" t="s">
        <v>55</v>
      </c>
      <c r="D528" s="58">
        <f>D529*E528/E529</f>
        <v>28.339200000000009</v>
      </c>
      <c r="E528" s="58">
        <f>E507*E529/E508</f>
        <v>884.94400000000019</v>
      </c>
      <c r="F528" s="24"/>
      <c r="G528" s="24"/>
      <c r="H528" s="24"/>
      <c r="I528" s="24"/>
      <c r="J528" s="24"/>
      <c r="K528" s="24"/>
      <c r="L528" s="24"/>
      <c r="M528" s="24"/>
      <c r="N528" s="24"/>
      <c r="O528" s="24"/>
      <c r="P528" s="24"/>
      <c r="Q528" s="24"/>
      <c r="R528" s="24"/>
      <c r="S528" s="24"/>
      <c r="T528" s="24"/>
      <c r="U528" s="24"/>
      <c r="V528" s="24"/>
      <c r="W528" s="24"/>
      <c r="X528" s="24"/>
      <c r="Y528" s="24"/>
      <c r="Z528" s="24"/>
      <c r="AA528" s="24"/>
      <c r="AB528" s="7"/>
    </row>
    <row r="529" spans="1:28" x14ac:dyDescent="0.2">
      <c r="A529" s="114"/>
      <c r="B529" s="128"/>
      <c r="C529" s="24" t="s">
        <v>9</v>
      </c>
      <c r="D529" s="24">
        <v>43.2</v>
      </c>
      <c r="E529" s="24">
        <v>1349</v>
      </c>
      <c r="F529" s="24"/>
      <c r="G529" s="24"/>
      <c r="H529" s="24"/>
      <c r="I529" s="24"/>
      <c r="J529" s="24"/>
      <c r="K529" s="24"/>
      <c r="L529" s="24"/>
      <c r="M529" s="24"/>
      <c r="N529" s="24"/>
      <c r="O529" s="24"/>
      <c r="P529" s="24"/>
      <c r="Q529" s="24"/>
      <c r="R529" s="24"/>
      <c r="S529" s="24"/>
      <c r="T529" s="24"/>
      <c r="U529" s="24"/>
      <c r="V529" s="24"/>
      <c r="W529" s="24"/>
      <c r="X529" s="24"/>
      <c r="Y529" s="24"/>
      <c r="Z529" s="24"/>
      <c r="AA529" s="24"/>
      <c r="AB529" s="7"/>
    </row>
    <row r="530" spans="1:28" x14ac:dyDescent="0.2">
      <c r="A530" s="1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AB530" s="7"/>
    </row>
    <row r="531" spans="1:28" x14ac:dyDescent="0.2">
      <c r="A531" s="114"/>
      <c r="C531" s="19"/>
      <c r="D531" s="23" t="s">
        <v>47</v>
      </c>
      <c r="E531" s="23" t="s">
        <v>48</v>
      </c>
      <c r="F531" s="23" t="s">
        <v>49</v>
      </c>
      <c r="G531" s="23" t="s">
        <v>50</v>
      </c>
      <c r="H531" s="23" t="s">
        <v>51</v>
      </c>
      <c r="I531" s="23" t="s">
        <v>52</v>
      </c>
      <c r="J531" s="23" t="s">
        <v>53</v>
      </c>
      <c r="K531" s="29">
        <v>0.01</v>
      </c>
      <c r="L531" s="29">
        <v>0.05</v>
      </c>
      <c r="M531" s="29">
        <v>0.1</v>
      </c>
      <c r="N531" s="29">
        <v>0.2</v>
      </c>
      <c r="O531" s="30">
        <v>0.3</v>
      </c>
      <c r="P531" s="30">
        <v>0.4</v>
      </c>
      <c r="Q531" s="30">
        <v>0.5</v>
      </c>
      <c r="R531" s="30">
        <v>0.6</v>
      </c>
      <c r="S531" s="30">
        <v>0.7</v>
      </c>
      <c r="T531" s="30">
        <v>0.8</v>
      </c>
      <c r="U531" s="30">
        <v>0.9</v>
      </c>
      <c r="V531" s="30">
        <v>0.95</v>
      </c>
      <c r="W531" s="30">
        <v>0.99</v>
      </c>
      <c r="X531" s="29">
        <v>0.995</v>
      </c>
      <c r="Y531" s="29">
        <v>0.999</v>
      </c>
      <c r="Z531" s="29">
        <v>0.99950000000000006</v>
      </c>
      <c r="AA531" s="29">
        <v>0.99990000000000001</v>
      </c>
      <c r="AB531" s="7"/>
    </row>
    <row r="532" spans="1:28" x14ac:dyDescent="0.2">
      <c r="A532" s="114"/>
      <c r="B532" s="119" t="s">
        <v>507</v>
      </c>
      <c r="C532" s="23" t="s">
        <v>54</v>
      </c>
      <c r="D532" s="23">
        <v>33.6</v>
      </c>
      <c r="E532" s="23" t="s">
        <v>611</v>
      </c>
      <c r="F532" s="23" t="s">
        <v>612</v>
      </c>
      <c r="G532" s="23" t="s">
        <v>94</v>
      </c>
      <c r="H532" s="23" t="s">
        <v>484</v>
      </c>
      <c r="I532" s="23" t="s">
        <v>613</v>
      </c>
      <c r="J532" s="23"/>
      <c r="K532" s="23" t="s">
        <v>251</v>
      </c>
      <c r="L532" s="23" t="s">
        <v>97</v>
      </c>
      <c r="M532" s="23" t="s">
        <v>97</v>
      </c>
      <c r="N532" s="23" t="s">
        <v>97</v>
      </c>
      <c r="O532" s="23" t="s">
        <v>98</v>
      </c>
      <c r="P532" s="23" t="s">
        <v>82</v>
      </c>
      <c r="Q532" s="23" t="s">
        <v>241</v>
      </c>
      <c r="R532" s="23" t="s">
        <v>68</v>
      </c>
      <c r="S532" s="23" t="s">
        <v>88</v>
      </c>
      <c r="T532" s="23" t="s">
        <v>89</v>
      </c>
      <c r="U532" s="23" t="s">
        <v>242</v>
      </c>
      <c r="V532" s="23" t="s">
        <v>243</v>
      </c>
      <c r="W532" s="23" t="s">
        <v>75</v>
      </c>
      <c r="X532" s="23" t="s">
        <v>233</v>
      </c>
      <c r="Y532" s="23" t="s">
        <v>112</v>
      </c>
      <c r="Z532" s="23" t="s">
        <v>207</v>
      </c>
      <c r="AA532" s="23" t="s">
        <v>484</v>
      </c>
      <c r="AB532" s="7"/>
    </row>
    <row r="533" spans="1:28" x14ac:dyDescent="0.2">
      <c r="A533" s="114"/>
      <c r="B533" s="119"/>
      <c r="C533" s="23" t="s">
        <v>57</v>
      </c>
      <c r="D533" s="23" t="s">
        <v>243</v>
      </c>
      <c r="E533" s="23" t="s">
        <v>762</v>
      </c>
      <c r="F533" s="23" t="s">
        <v>763</v>
      </c>
      <c r="G533" s="23" t="s">
        <v>250</v>
      </c>
      <c r="H533" s="23" t="s">
        <v>764</v>
      </c>
      <c r="I533" s="23" t="s">
        <v>765</v>
      </c>
      <c r="J533" s="23"/>
      <c r="K533" s="104" t="s">
        <v>268</v>
      </c>
      <c r="L533" s="104" t="s">
        <v>251</v>
      </c>
      <c r="M533" s="104" t="s">
        <v>251</v>
      </c>
      <c r="N533" s="104" t="s">
        <v>96</v>
      </c>
      <c r="O533" s="104" t="s">
        <v>98</v>
      </c>
      <c r="P533" s="104" t="s">
        <v>98</v>
      </c>
      <c r="Q533" s="104" t="s">
        <v>82</v>
      </c>
      <c r="R533" s="104" t="s">
        <v>241</v>
      </c>
      <c r="S533" s="104" t="s">
        <v>86</v>
      </c>
      <c r="T533" s="104" t="s">
        <v>86</v>
      </c>
      <c r="U533" s="104" t="s">
        <v>88</v>
      </c>
      <c r="V533" s="104" t="s">
        <v>254</v>
      </c>
      <c r="W533" s="104" t="s">
        <v>75</v>
      </c>
      <c r="X533" s="104" t="s">
        <v>233</v>
      </c>
      <c r="Y533" s="104" t="s">
        <v>113</v>
      </c>
      <c r="Z533" s="104" t="s">
        <v>207</v>
      </c>
      <c r="AA533" s="104" t="s">
        <v>417</v>
      </c>
      <c r="AB533" s="7"/>
    </row>
    <row r="534" spans="1:28" x14ac:dyDescent="0.2">
      <c r="A534" s="114"/>
      <c r="B534" s="119"/>
      <c r="C534" s="23" t="s">
        <v>56</v>
      </c>
      <c r="D534" s="74">
        <f>D532*E534/E532</f>
        <v>7.3093612964728312</v>
      </c>
      <c r="E534" s="23">
        <v>228.2</v>
      </c>
      <c r="F534" s="23"/>
      <c r="G534" s="23"/>
      <c r="H534" s="23"/>
      <c r="I534" s="23"/>
      <c r="J534" s="23"/>
      <c r="K534" s="33">
        <f>K61*E61/E534</f>
        <v>165.62664329535451</v>
      </c>
      <c r="L534" s="33">
        <f>L61*E61/E534</f>
        <v>180.68361086765947</v>
      </c>
      <c r="M534" s="33">
        <f>M61*E61/E534</f>
        <v>180.68361086765947</v>
      </c>
      <c r="N534" s="33">
        <f>N61*E61/E534</f>
        <v>180.68361086765947</v>
      </c>
      <c r="O534" s="33">
        <f>O61*E61/E534</f>
        <v>188.2120946538119</v>
      </c>
      <c r="P534" s="33">
        <f>P61*E61/E534</f>
        <v>195.74057843996442</v>
      </c>
      <c r="Q534" s="33">
        <f>Q61*E61/E534</f>
        <v>203.26906222611692</v>
      </c>
      <c r="R534" s="33">
        <f>R61*E61/E534</f>
        <v>218.32602979842184</v>
      </c>
      <c r="S534" s="33">
        <f>S61*E61/E534</f>
        <v>240.91148115687926</v>
      </c>
      <c r="T534" s="33">
        <f>T61*E61/E534</f>
        <v>296.09553023663454</v>
      </c>
      <c r="U534" s="33">
        <f>U61*E61/E534</f>
        <v>378.18141980718667</v>
      </c>
      <c r="V534" s="33">
        <f>V61*E61/E534</f>
        <v>533.55828220858893</v>
      </c>
      <c r="W534" s="33">
        <f>W61*E61/E534</f>
        <v>583.3961437335671</v>
      </c>
      <c r="X534" s="33">
        <f>X61*E61/E534</f>
        <v>600.98597721297108</v>
      </c>
      <c r="Y534" s="33">
        <f>Y61*E61/E534</f>
        <v>753.43120070113935</v>
      </c>
      <c r="Z534" s="33">
        <f>Z61*E61/E534</f>
        <v>1923.1551270815075</v>
      </c>
      <c r="AA534" s="33">
        <f>AA61*E61/E534</f>
        <v>2642.4978089395199</v>
      </c>
      <c r="AB534" s="7"/>
    </row>
    <row r="535" spans="1:28" x14ac:dyDescent="0.2">
      <c r="A535" s="114"/>
      <c r="B535" s="119"/>
      <c r="C535" s="23" t="s">
        <v>55</v>
      </c>
      <c r="D535" s="23" t="s">
        <v>767</v>
      </c>
      <c r="E535" s="56">
        <v>836</v>
      </c>
      <c r="F535" s="23" t="s">
        <v>748</v>
      </c>
      <c r="G535" s="23" t="s">
        <v>81</v>
      </c>
      <c r="H535" s="23" t="s">
        <v>401</v>
      </c>
      <c r="I535" s="23" t="s">
        <v>749</v>
      </c>
      <c r="J535" s="23"/>
      <c r="K535" s="23" t="s">
        <v>87</v>
      </c>
      <c r="L535" s="23" t="s">
        <v>88</v>
      </c>
      <c r="M535" s="23" t="s">
        <v>89</v>
      </c>
      <c r="N535" s="23" t="s">
        <v>242</v>
      </c>
      <c r="O535" s="23" t="s">
        <v>242</v>
      </c>
      <c r="P535" s="23" t="s">
        <v>242</v>
      </c>
      <c r="Q535" s="23" t="s">
        <v>243</v>
      </c>
      <c r="R535" s="23" t="s">
        <v>243</v>
      </c>
      <c r="S535" s="23" t="s">
        <v>243</v>
      </c>
      <c r="T535" s="23" t="s">
        <v>244</v>
      </c>
      <c r="U535" s="23" t="s">
        <v>74</v>
      </c>
      <c r="V535" s="23" t="s">
        <v>378</v>
      </c>
      <c r="W535" s="23" t="s">
        <v>107</v>
      </c>
      <c r="X535" s="23" t="s">
        <v>111</v>
      </c>
      <c r="Y535" s="23" t="s">
        <v>167</v>
      </c>
      <c r="Z535" s="23" t="s">
        <v>151</v>
      </c>
      <c r="AA535" s="23" t="s">
        <v>490</v>
      </c>
      <c r="AB535" s="7"/>
    </row>
    <row r="536" spans="1:28" x14ac:dyDescent="0.2">
      <c r="A536" s="114"/>
      <c r="B536" s="119"/>
      <c r="C536" s="23" t="s">
        <v>9</v>
      </c>
      <c r="D536" s="23">
        <v>34.9</v>
      </c>
      <c r="E536" s="23" t="s">
        <v>517</v>
      </c>
      <c r="F536" s="23" t="s">
        <v>518</v>
      </c>
      <c r="G536" s="23" t="s">
        <v>265</v>
      </c>
      <c r="H536" s="23" t="s">
        <v>519</v>
      </c>
      <c r="I536" s="23" t="s">
        <v>520</v>
      </c>
      <c r="J536" s="23" t="s">
        <v>521</v>
      </c>
      <c r="K536" s="23" t="s">
        <v>95</v>
      </c>
      <c r="L536" s="23" t="s">
        <v>96</v>
      </c>
      <c r="M536" s="23" t="s">
        <v>96</v>
      </c>
      <c r="N536" s="23" t="s">
        <v>96</v>
      </c>
      <c r="O536" s="23" t="s">
        <v>96</v>
      </c>
      <c r="P536" s="23" t="s">
        <v>97</v>
      </c>
      <c r="Q536" s="23" t="s">
        <v>98</v>
      </c>
      <c r="R536" s="23" t="s">
        <v>82</v>
      </c>
      <c r="S536" s="23" t="s">
        <v>81</v>
      </c>
      <c r="T536" s="23" t="s">
        <v>86</v>
      </c>
      <c r="U536" s="23" t="s">
        <v>88</v>
      </c>
      <c r="V536" s="23" t="s">
        <v>69</v>
      </c>
      <c r="W536" s="23" t="s">
        <v>342</v>
      </c>
      <c r="X536" s="23" t="s">
        <v>130</v>
      </c>
      <c r="Y536" s="23" t="s">
        <v>401</v>
      </c>
      <c r="Z536" s="23" t="s">
        <v>171</v>
      </c>
      <c r="AA536" s="23" t="s">
        <v>519</v>
      </c>
      <c r="AB536" s="7"/>
    </row>
    <row r="537" spans="1:28" x14ac:dyDescent="0.2">
      <c r="A537" s="114"/>
      <c r="B537" s="15"/>
      <c r="C537" s="15"/>
      <c r="D537" s="27"/>
      <c r="E537" s="27"/>
      <c r="F537" s="27"/>
      <c r="G537" s="27"/>
      <c r="H537" s="27"/>
      <c r="I537" s="27"/>
      <c r="J537" s="27"/>
      <c r="K537" s="27"/>
      <c r="L537" s="27"/>
      <c r="M537" s="27"/>
      <c r="N537" s="27"/>
      <c r="O537" s="27"/>
      <c r="P537" s="27"/>
      <c r="Q537" s="27"/>
      <c r="R537" s="27"/>
      <c r="S537" s="27"/>
      <c r="T537" s="27"/>
      <c r="U537" s="27"/>
      <c r="V537" s="27"/>
      <c r="W537" s="27"/>
      <c r="X537" s="27"/>
      <c r="AB537" s="7"/>
    </row>
    <row r="538" spans="1:28" x14ac:dyDescent="0.2">
      <c r="A538" s="114"/>
      <c r="C538" s="19"/>
      <c r="D538" s="23" t="s">
        <v>47</v>
      </c>
      <c r="E538" s="23" t="s">
        <v>48</v>
      </c>
      <c r="F538" s="23" t="s">
        <v>49</v>
      </c>
      <c r="G538" s="23" t="s">
        <v>50</v>
      </c>
      <c r="H538" s="23" t="s">
        <v>51</v>
      </c>
      <c r="I538" s="23" t="s">
        <v>52</v>
      </c>
      <c r="J538" s="23" t="s">
        <v>53</v>
      </c>
      <c r="K538" s="29">
        <v>0.01</v>
      </c>
      <c r="L538" s="29">
        <v>0.05</v>
      </c>
      <c r="M538" s="29">
        <v>0.1</v>
      </c>
      <c r="N538" s="29">
        <v>0.2</v>
      </c>
      <c r="O538" s="30">
        <v>0.3</v>
      </c>
      <c r="P538" s="30">
        <v>0.4</v>
      </c>
      <c r="Q538" s="30">
        <v>0.5</v>
      </c>
      <c r="R538" s="30">
        <v>0.6</v>
      </c>
      <c r="S538" s="30">
        <v>0.7</v>
      </c>
      <c r="T538" s="30">
        <v>0.8</v>
      </c>
      <c r="U538" s="30">
        <v>0.9</v>
      </c>
      <c r="V538" s="30">
        <v>0.95</v>
      </c>
      <c r="W538" s="30">
        <v>0.99</v>
      </c>
      <c r="X538" s="29">
        <v>0.995</v>
      </c>
      <c r="Y538" s="29">
        <v>0.999</v>
      </c>
      <c r="Z538" s="29">
        <v>0.99950000000000006</v>
      </c>
      <c r="AA538" s="29">
        <v>0.99990000000000001</v>
      </c>
      <c r="AB538" s="7"/>
    </row>
    <row r="539" spans="1:28" x14ac:dyDescent="0.2">
      <c r="A539" s="114"/>
      <c r="B539" s="119" t="s">
        <v>508</v>
      </c>
      <c r="C539" s="23" t="s">
        <v>54</v>
      </c>
      <c r="D539" s="23">
        <v>50.4</v>
      </c>
      <c r="E539" s="23" t="s">
        <v>629</v>
      </c>
      <c r="F539" s="23" t="s">
        <v>630</v>
      </c>
      <c r="G539" s="23" t="s">
        <v>250</v>
      </c>
      <c r="H539" s="23" t="s">
        <v>631</v>
      </c>
      <c r="I539" s="23" t="s">
        <v>632</v>
      </c>
      <c r="J539" s="23" t="s">
        <v>633</v>
      </c>
      <c r="K539" s="23" t="s">
        <v>98</v>
      </c>
      <c r="L539" s="23" t="s">
        <v>68</v>
      </c>
      <c r="M539" s="23" t="s">
        <v>88</v>
      </c>
      <c r="N539" s="23" t="s">
        <v>252</v>
      </c>
      <c r="O539" s="23" t="s">
        <v>69</v>
      </c>
      <c r="P539" s="23" t="s">
        <v>456</v>
      </c>
      <c r="Q539" s="23" t="s">
        <v>73</v>
      </c>
      <c r="R539" s="23" t="s">
        <v>301</v>
      </c>
      <c r="S539" s="23" t="s">
        <v>233</v>
      </c>
      <c r="T539" s="23" t="s">
        <v>181</v>
      </c>
      <c r="U539" s="23" t="s">
        <v>114</v>
      </c>
      <c r="V539" s="23" t="s">
        <v>166</v>
      </c>
      <c r="W539" s="23" t="s">
        <v>342</v>
      </c>
      <c r="X539" s="23" t="s">
        <v>327</v>
      </c>
      <c r="Y539" s="23" t="s">
        <v>196</v>
      </c>
      <c r="Z539" s="23" t="s">
        <v>527</v>
      </c>
      <c r="AA539" s="23" t="s">
        <v>634</v>
      </c>
      <c r="AB539" s="7"/>
    </row>
    <row r="540" spans="1:28" x14ac:dyDescent="0.2">
      <c r="A540" s="114"/>
      <c r="B540" s="119"/>
      <c r="C540" s="23" t="s">
        <v>57</v>
      </c>
      <c r="D540" s="56">
        <f>D543*E540/E543</f>
        <v>53.552605459057077</v>
      </c>
      <c r="E540" s="23">
        <v>1673</v>
      </c>
      <c r="F540" s="23"/>
      <c r="G540" s="23"/>
      <c r="H540" s="23"/>
      <c r="I540" s="23"/>
      <c r="J540" s="23"/>
      <c r="K540" s="23"/>
      <c r="L540" s="23"/>
      <c r="M540" s="23"/>
      <c r="N540" s="23"/>
      <c r="O540" s="23"/>
      <c r="P540" s="23"/>
      <c r="Q540" s="23"/>
      <c r="R540" s="23"/>
      <c r="S540" s="23"/>
      <c r="T540" s="23"/>
      <c r="U540" s="23"/>
      <c r="V540" s="23"/>
      <c r="W540" s="23"/>
      <c r="X540" s="23"/>
      <c r="Y540" s="23"/>
      <c r="Z540" s="23"/>
      <c r="AA540" s="23"/>
      <c r="AB540" s="7"/>
    </row>
    <row r="541" spans="1:28" x14ac:dyDescent="0.2">
      <c r="A541" s="114"/>
      <c r="B541" s="119"/>
      <c r="C541" s="23" t="s">
        <v>56</v>
      </c>
      <c r="D541" s="56">
        <f>D539*E541/E539</f>
        <v>22.654112717235002</v>
      </c>
      <c r="E541" s="56">
        <f>E534*E275</f>
        <v>707.4915360501567</v>
      </c>
      <c r="F541" s="23"/>
      <c r="G541" s="23"/>
      <c r="H541" s="23"/>
      <c r="I541" s="23"/>
      <c r="J541" s="23"/>
      <c r="K541" s="104"/>
      <c r="L541" s="104"/>
      <c r="M541" s="104"/>
      <c r="N541" s="104"/>
      <c r="O541" s="104"/>
      <c r="P541" s="104"/>
      <c r="Q541" s="104"/>
      <c r="R541" s="104"/>
      <c r="S541" s="104"/>
      <c r="T541" s="104"/>
      <c r="U541" s="104"/>
      <c r="V541" s="104"/>
      <c r="W541" s="104"/>
      <c r="X541" s="104"/>
      <c r="Y541" s="104"/>
      <c r="Z541" s="104"/>
      <c r="AA541" s="104"/>
      <c r="AB541" s="7"/>
    </row>
    <row r="542" spans="1:28" x14ac:dyDescent="0.2">
      <c r="A542" s="114"/>
      <c r="B542" s="119"/>
      <c r="C542" s="23" t="s">
        <v>55</v>
      </c>
      <c r="D542" s="56">
        <f>D543*E542/E543</f>
        <v>29.709090909090907</v>
      </c>
      <c r="E542" s="56">
        <f>E535*E543/E536</f>
        <v>928.12121212121212</v>
      </c>
      <c r="F542" s="23"/>
      <c r="G542" s="23"/>
      <c r="H542" s="23"/>
      <c r="I542" s="23"/>
      <c r="J542" s="23"/>
      <c r="K542" s="23"/>
      <c r="L542" s="23"/>
      <c r="M542" s="23"/>
      <c r="N542" s="23"/>
      <c r="O542" s="23"/>
      <c r="P542" s="23"/>
      <c r="Q542" s="23"/>
      <c r="R542" s="23"/>
      <c r="S542" s="23"/>
      <c r="T542" s="23"/>
      <c r="U542" s="23"/>
      <c r="V542" s="23"/>
      <c r="W542" s="23"/>
      <c r="X542" s="23"/>
      <c r="Y542" s="23"/>
      <c r="Z542" s="23"/>
      <c r="AA542" s="23"/>
      <c r="AB542" s="7"/>
    </row>
    <row r="543" spans="1:28" x14ac:dyDescent="0.2">
      <c r="A543" s="114"/>
      <c r="B543" s="119"/>
      <c r="C543" s="23" t="s">
        <v>9</v>
      </c>
      <c r="D543" s="23">
        <v>38.700000000000003</v>
      </c>
      <c r="E543" s="23">
        <v>1209</v>
      </c>
      <c r="F543" s="23"/>
      <c r="G543" s="23"/>
      <c r="H543" s="23"/>
      <c r="I543" s="23"/>
      <c r="J543" s="23"/>
      <c r="K543" s="23"/>
      <c r="L543" s="23"/>
      <c r="M543" s="23"/>
      <c r="N543" s="23"/>
      <c r="O543" s="23"/>
      <c r="P543" s="23"/>
      <c r="Q543" s="23"/>
      <c r="R543" s="23"/>
      <c r="S543" s="23"/>
      <c r="T543" s="23"/>
      <c r="U543" s="23"/>
      <c r="V543" s="23"/>
      <c r="W543" s="23"/>
      <c r="X543" s="23"/>
      <c r="Y543" s="23"/>
      <c r="Z543" s="23"/>
      <c r="AA543" s="23"/>
      <c r="AB543" s="7"/>
    </row>
    <row r="544" spans="1:28" x14ac:dyDescent="0.2">
      <c r="A544" s="114"/>
      <c r="B544" s="14"/>
      <c r="AB544" s="7"/>
    </row>
    <row r="545" spans="1:28" x14ac:dyDescent="0.2">
      <c r="A545" s="114"/>
      <c r="C545" s="19"/>
      <c r="D545" s="23" t="s">
        <v>47</v>
      </c>
      <c r="E545" s="23" t="s">
        <v>48</v>
      </c>
      <c r="F545" s="23" t="s">
        <v>49</v>
      </c>
      <c r="G545" s="23" t="s">
        <v>50</v>
      </c>
      <c r="H545" s="23" t="s">
        <v>51</v>
      </c>
      <c r="I545" s="23" t="s">
        <v>52</v>
      </c>
      <c r="J545" s="23" t="s">
        <v>53</v>
      </c>
      <c r="K545" s="29">
        <v>0.01</v>
      </c>
      <c r="L545" s="29">
        <v>0.05</v>
      </c>
      <c r="M545" s="29">
        <v>0.1</v>
      </c>
      <c r="N545" s="29">
        <v>0.2</v>
      </c>
      <c r="O545" s="30">
        <v>0.3</v>
      </c>
      <c r="P545" s="30">
        <v>0.4</v>
      </c>
      <c r="Q545" s="30">
        <v>0.5</v>
      </c>
      <c r="R545" s="30">
        <v>0.6</v>
      </c>
      <c r="S545" s="30">
        <v>0.7</v>
      </c>
      <c r="T545" s="30">
        <v>0.8</v>
      </c>
      <c r="U545" s="30">
        <v>0.9</v>
      </c>
      <c r="V545" s="30">
        <v>0.95</v>
      </c>
      <c r="W545" s="30">
        <v>0.99</v>
      </c>
      <c r="X545" s="29">
        <v>0.995</v>
      </c>
      <c r="Y545" s="29">
        <v>0.999</v>
      </c>
      <c r="Z545" s="29">
        <v>0.99950000000000006</v>
      </c>
      <c r="AA545" s="29">
        <v>0.99990000000000001</v>
      </c>
      <c r="AB545" s="7"/>
    </row>
    <row r="546" spans="1:28" x14ac:dyDescent="0.2">
      <c r="A546" s="114"/>
      <c r="B546" s="119" t="s">
        <v>509</v>
      </c>
      <c r="C546" s="23" t="s">
        <v>54</v>
      </c>
      <c r="D546" s="23" t="s">
        <v>223</v>
      </c>
      <c r="E546" s="23" t="s">
        <v>614</v>
      </c>
      <c r="F546" s="23" t="s">
        <v>615</v>
      </c>
      <c r="G546" s="23" t="s">
        <v>93</v>
      </c>
      <c r="H546" s="23" t="s">
        <v>616</v>
      </c>
      <c r="I546" s="23" t="s">
        <v>617</v>
      </c>
      <c r="J546" s="23" t="s">
        <v>618</v>
      </c>
      <c r="K546" s="23" t="s">
        <v>86</v>
      </c>
      <c r="L546" s="23" t="s">
        <v>69</v>
      </c>
      <c r="M546" s="23" t="s">
        <v>255</v>
      </c>
      <c r="N546" s="23" t="s">
        <v>307</v>
      </c>
      <c r="O546" s="23" t="s">
        <v>76</v>
      </c>
      <c r="P546" s="23" t="s">
        <v>109</v>
      </c>
      <c r="Q546" s="23" t="s">
        <v>145</v>
      </c>
      <c r="R546" s="23" t="s">
        <v>148</v>
      </c>
      <c r="S546" s="23" t="s">
        <v>218</v>
      </c>
      <c r="T546" s="23" t="s">
        <v>127</v>
      </c>
      <c r="U546" s="23" t="s">
        <v>153</v>
      </c>
      <c r="V546" s="23" t="s">
        <v>278</v>
      </c>
      <c r="W546" s="23" t="s">
        <v>417</v>
      </c>
      <c r="X546" s="23" t="s">
        <v>484</v>
      </c>
      <c r="Y546" s="23" t="s">
        <v>619</v>
      </c>
      <c r="Z546" s="23" t="s">
        <v>324</v>
      </c>
      <c r="AA546" s="23" t="s">
        <v>620</v>
      </c>
      <c r="AB546" s="7"/>
    </row>
    <row r="547" spans="1:28" x14ac:dyDescent="0.2">
      <c r="A547" s="114"/>
      <c r="B547" s="119"/>
      <c r="C547" s="23" t="s">
        <v>57</v>
      </c>
      <c r="D547" s="56">
        <f>D550*E547/E550</f>
        <v>60.76073407202216</v>
      </c>
      <c r="E547" s="23">
        <v>1895</v>
      </c>
      <c r="F547" s="23"/>
      <c r="G547" s="23"/>
      <c r="H547" s="23"/>
      <c r="I547" s="23"/>
      <c r="J547" s="23"/>
      <c r="K547" s="23"/>
      <c r="L547" s="23"/>
      <c r="M547" s="23"/>
      <c r="N547" s="23"/>
      <c r="O547" s="23"/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  <c r="AA547" s="23"/>
      <c r="AB547" s="7"/>
    </row>
    <row r="548" spans="1:28" x14ac:dyDescent="0.2">
      <c r="A548" s="114"/>
      <c r="B548" s="119"/>
      <c r="C548" s="23" t="s">
        <v>56</v>
      </c>
      <c r="D548" s="33">
        <f>D546*E548/E546</f>
        <v>30.005057973118539</v>
      </c>
      <c r="E548" s="56">
        <f>E534*E276</f>
        <v>937.12225705329161</v>
      </c>
      <c r="F548" s="23"/>
      <c r="G548" s="23"/>
      <c r="H548" s="23"/>
      <c r="I548" s="23"/>
      <c r="J548" s="23"/>
      <c r="K548" s="23"/>
      <c r="L548" s="23"/>
      <c r="M548" s="23"/>
      <c r="N548" s="23"/>
      <c r="O548" s="23"/>
      <c r="P548" s="23"/>
      <c r="Q548" s="23"/>
      <c r="R548" s="23"/>
      <c r="S548" s="23"/>
      <c r="T548" s="23"/>
      <c r="U548" s="23"/>
      <c r="V548" s="23"/>
      <c r="W548" s="23"/>
      <c r="X548" s="23"/>
      <c r="Y548" s="23"/>
      <c r="Z548" s="23"/>
      <c r="AA548" s="23"/>
      <c r="AB548" s="7"/>
    </row>
    <row r="549" spans="1:28" x14ac:dyDescent="0.2">
      <c r="A549" s="114"/>
      <c r="B549" s="119"/>
      <c r="C549" s="23" t="s">
        <v>55</v>
      </c>
      <c r="D549" s="56">
        <f>D550*E549/E550</f>
        <v>35.543434343434335</v>
      </c>
      <c r="E549" s="33">
        <f>E535*E550/E536</f>
        <v>1108.5252525252524</v>
      </c>
      <c r="F549" s="23"/>
      <c r="G549" s="23"/>
      <c r="H549" s="23"/>
      <c r="I549" s="23"/>
      <c r="J549" s="23"/>
      <c r="K549" s="23"/>
      <c r="L549" s="23"/>
      <c r="M549" s="23"/>
      <c r="N549" s="23"/>
      <c r="O549" s="23"/>
      <c r="P549" s="23"/>
      <c r="Q549" s="23"/>
      <c r="R549" s="23"/>
      <c r="S549" s="23"/>
      <c r="T549" s="23"/>
      <c r="U549" s="23"/>
      <c r="V549" s="23"/>
      <c r="W549" s="23"/>
      <c r="X549" s="23"/>
      <c r="Y549" s="23"/>
      <c r="Z549" s="23"/>
      <c r="AA549" s="23"/>
      <c r="AB549" s="7"/>
    </row>
    <row r="550" spans="1:28" x14ac:dyDescent="0.2">
      <c r="A550" s="114"/>
      <c r="B550" s="119"/>
      <c r="C550" s="23" t="s">
        <v>9</v>
      </c>
      <c r="D550" s="23">
        <v>46.3</v>
      </c>
      <c r="E550" s="23">
        <v>1444</v>
      </c>
      <c r="F550" s="23"/>
      <c r="G550" s="23"/>
      <c r="H550" s="23"/>
      <c r="I550" s="23"/>
      <c r="J550" s="23"/>
      <c r="K550" s="23"/>
      <c r="L550" s="23"/>
      <c r="M550" s="23"/>
      <c r="N550" s="23"/>
      <c r="O550" s="23"/>
      <c r="P550" s="23"/>
      <c r="Q550" s="23"/>
      <c r="R550" s="23"/>
      <c r="S550" s="23"/>
      <c r="T550" s="23"/>
      <c r="U550" s="23"/>
      <c r="V550" s="23"/>
      <c r="W550" s="23"/>
      <c r="X550" s="23"/>
      <c r="Y550" s="23"/>
      <c r="Z550" s="23"/>
      <c r="AA550" s="23"/>
      <c r="AB550" s="19"/>
    </row>
    <row r="551" spans="1:28" x14ac:dyDescent="0.2">
      <c r="A551" s="114"/>
      <c r="B551" s="7"/>
      <c r="AB551" s="19"/>
    </row>
    <row r="552" spans="1:28" x14ac:dyDescent="0.2">
      <c r="A552" s="114"/>
      <c r="C552" s="19"/>
      <c r="D552" s="23" t="s">
        <v>47</v>
      </c>
      <c r="E552" s="23" t="s">
        <v>48</v>
      </c>
      <c r="F552" s="23" t="s">
        <v>49</v>
      </c>
      <c r="G552" s="23" t="s">
        <v>50</v>
      </c>
      <c r="H552" s="23" t="s">
        <v>51</v>
      </c>
      <c r="I552" s="23" t="s">
        <v>52</v>
      </c>
      <c r="J552" s="23" t="s">
        <v>53</v>
      </c>
      <c r="K552" s="29">
        <v>0.01</v>
      </c>
      <c r="L552" s="29">
        <v>0.05</v>
      </c>
      <c r="M552" s="29">
        <v>0.1</v>
      </c>
      <c r="N552" s="29">
        <v>0.2</v>
      </c>
      <c r="O552" s="30">
        <v>0.3</v>
      </c>
      <c r="P552" s="30">
        <v>0.4</v>
      </c>
      <c r="Q552" s="30">
        <v>0.5</v>
      </c>
      <c r="R552" s="30">
        <v>0.6</v>
      </c>
      <c r="S552" s="30">
        <v>0.7</v>
      </c>
      <c r="T552" s="30">
        <v>0.8</v>
      </c>
      <c r="U552" s="30">
        <v>0.9</v>
      </c>
      <c r="V552" s="30">
        <v>0.95</v>
      </c>
      <c r="W552" s="30">
        <v>0.99</v>
      </c>
      <c r="X552" s="29">
        <v>0.995</v>
      </c>
      <c r="Y552" s="29">
        <v>0.999</v>
      </c>
      <c r="Z552" s="29">
        <v>0.99950000000000006</v>
      </c>
      <c r="AA552" s="29">
        <v>0.99990000000000001</v>
      </c>
      <c r="AB552" s="19"/>
    </row>
    <row r="553" spans="1:28" x14ac:dyDescent="0.2">
      <c r="A553" s="114"/>
      <c r="B553" s="119" t="s">
        <v>510</v>
      </c>
      <c r="C553" s="23" t="s">
        <v>54</v>
      </c>
      <c r="D553" s="23">
        <v>64.3</v>
      </c>
      <c r="E553" s="23" t="s">
        <v>621</v>
      </c>
      <c r="F553" s="23" t="s">
        <v>622</v>
      </c>
      <c r="G553" s="23" t="s">
        <v>452</v>
      </c>
      <c r="H553" s="23" t="s">
        <v>623</v>
      </c>
      <c r="I553" s="23" t="s">
        <v>624</v>
      </c>
      <c r="J553" s="23" t="s">
        <v>625</v>
      </c>
      <c r="K553" s="23" t="s">
        <v>242</v>
      </c>
      <c r="L553" s="23" t="s">
        <v>255</v>
      </c>
      <c r="M553" s="23" t="s">
        <v>378</v>
      </c>
      <c r="N553" s="23" t="s">
        <v>76</v>
      </c>
      <c r="O553" s="23" t="s">
        <v>111</v>
      </c>
      <c r="P553" s="23" t="s">
        <v>114</v>
      </c>
      <c r="Q553" s="23" t="s">
        <v>165</v>
      </c>
      <c r="R553" s="23" t="s">
        <v>218</v>
      </c>
      <c r="S553" s="23" t="s">
        <v>182</v>
      </c>
      <c r="T553" s="23" t="s">
        <v>238</v>
      </c>
      <c r="U553" s="23" t="s">
        <v>135</v>
      </c>
      <c r="V553" s="23" t="s">
        <v>352</v>
      </c>
      <c r="W553" s="23" t="s">
        <v>280</v>
      </c>
      <c r="X553" s="23" t="s">
        <v>626</v>
      </c>
      <c r="Y553" s="23" t="s">
        <v>371</v>
      </c>
      <c r="Z553" s="23" t="s">
        <v>627</v>
      </c>
      <c r="AA553" s="23" t="s">
        <v>628</v>
      </c>
      <c r="AB553" s="19"/>
    </row>
    <row r="554" spans="1:28" x14ac:dyDescent="0.2">
      <c r="A554" s="114"/>
      <c r="B554" s="119"/>
      <c r="C554" s="23" t="s">
        <v>57</v>
      </c>
      <c r="D554" s="56">
        <f>D557*E554/E557</f>
        <v>72.644251626898054</v>
      </c>
      <c r="E554" s="23">
        <v>2196</v>
      </c>
      <c r="F554" s="23"/>
      <c r="G554" s="23"/>
      <c r="H554" s="23"/>
      <c r="I554" s="23"/>
      <c r="J554" s="23"/>
      <c r="K554" s="23"/>
      <c r="L554" s="23"/>
      <c r="M554" s="23"/>
      <c r="N554" s="23"/>
      <c r="O554" s="23"/>
      <c r="P554" s="23"/>
      <c r="Q554" s="23"/>
      <c r="R554" s="23"/>
      <c r="S554" s="23"/>
      <c r="T554" s="23"/>
      <c r="U554" s="23"/>
      <c r="V554" s="23"/>
      <c r="W554" s="23"/>
      <c r="X554" s="23"/>
      <c r="Y554" s="23"/>
      <c r="Z554" s="23"/>
      <c r="AA554" s="23"/>
      <c r="AB554" s="19"/>
    </row>
    <row r="555" spans="1:28" x14ac:dyDescent="0.2">
      <c r="A555" s="114"/>
      <c r="B555" s="119"/>
      <c r="C555" s="23" t="s">
        <v>56</v>
      </c>
      <c r="D555" s="56">
        <f>D553*E555/E553</f>
        <v>31.428693876531486</v>
      </c>
      <c r="E555" s="56">
        <f>E534*E277</f>
        <v>981.47460815047009</v>
      </c>
      <c r="F555" s="23"/>
      <c r="G555" s="23"/>
      <c r="H555" s="23"/>
      <c r="I555" s="23"/>
      <c r="J555" s="23"/>
      <c r="K555" s="23"/>
      <c r="L555" s="23"/>
      <c r="M555" s="23"/>
      <c r="N555" s="23"/>
      <c r="O555" s="23"/>
      <c r="P555" s="23"/>
      <c r="Q555" s="23"/>
      <c r="R555" s="23"/>
      <c r="S555" s="23"/>
      <c r="T555" s="23"/>
      <c r="U555" s="23"/>
      <c r="V555" s="23"/>
      <c r="W555" s="23"/>
      <c r="X555" s="23"/>
      <c r="Y555" s="23"/>
      <c r="Z555" s="23"/>
      <c r="AA555" s="23"/>
      <c r="AB555" s="19"/>
    </row>
    <row r="556" spans="1:28" x14ac:dyDescent="0.2">
      <c r="A556" s="114"/>
      <c r="B556" s="119"/>
      <c r="C556" s="23" t="s">
        <v>55</v>
      </c>
      <c r="D556" s="56">
        <f>D557*E556/E557</f>
        <v>46.828282828282831</v>
      </c>
      <c r="E556" s="56">
        <f>E535*E557/E536</f>
        <v>1415.5959595959596</v>
      </c>
      <c r="F556" s="23"/>
      <c r="G556" s="23"/>
      <c r="H556" s="23"/>
      <c r="I556" s="23"/>
      <c r="J556" s="23"/>
      <c r="K556" s="23"/>
      <c r="L556" s="23"/>
      <c r="M556" s="23"/>
      <c r="N556" s="23"/>
      <c r="O556" s="23"/>
      <c r="P556" s="23"/>
      <c r="Q556" s="23"/>
      <c r="R556" s="23"/>
      <c r="S556" s="23"/>
      <c r="T556" s="23"/>
      <c r="U556" s="23"/>
      <c r="V556" s="23"/>
      <c r="W556" s="23"/>
      <c r="X556" s="23"/>
      <c r="Y556" s="23"/>
      <c r="Z556" s="23"/>
      <c r="AA556" s="23"/>
      <c r="AB556" s="19"/>
    </row>
    <row r="557" spans="1:28" x14ac:dyDescent="0.2">
      <c r="A557" s="114"/>
      <c r="B557" s="119"/>
      <c r="C557" s="23" t="s">
        <v>9</v>
      </c>
      <c r="D557" s="23">
        <v>61</v>
      </c>
      <c r="E557" s="23">
        <v>1844</v>
      </c>
      <c r="F557" s="23"/>
      <c r="G557" s="23"/>
      <c r="H557" s="23"/>
      <c r="I557" s="23"/>
      <c r="J557" s="23"/>
      <c r="K557" s="23"/>
      <c r="L557" s="23"/>
      <c r="M557" s="23"/>
      <c r="N557" s="23"/>
      <c r="O557" s="23"/>
      <c r="P557" s="23"/>
      <c r="Q557" s="23"/>
      <c r="R557" s="23"/>
      <c r="S557" s="23"/>
      <c r="T557" s="23"/>
      <c r="U557" s="23"/>
      <c r="V557" s="23"/>
      <c r="W557" s="23"/>
      <c r="X557" s="23"/>
      <c r="Y557" s="23"/>
      <c r="Z557" s="23"/>
      <c r="AA557" s="23"/>
      <c r="AB557" s="19"/>
    </row>
    <row r="558" spans="1:28" x14ac:dyDescent="0.2">
      <c r="AB558" s="19"/>
    </row>
    <row r="559" spans="1:28" x14ac:dyDescent="0.2">
      <c r="AB559" s="19"/>
    </row>
    <row r="560" spans="1:28" x14ac:dyDescent="0.2">
      <c r="AB560" s="19"/>
    </row>
    <row r="561" spans="28:28" x14ac:dyDescent="0.2">
      <c r="AB561" s="19"/>
    </row>
    <row r="562" spans="28:28" x14ac:dyDescent="0.2">
      <c r="AB562" s="19"/>
    </row>
    <row r="563" spans="28:28" x14ac:dyDescent="0.2">
      <c r="AB563" s="19"/>
    </row>
    <row r="564" spans="28:28" x14ac:dyDescent="0.2">
      <c r="AB564" s="19"/>
    </row>
    <row r="565" spans="28:28" x14ac:dyDescent="0.2">
      <c r="AB565" s="19"/>
    </row>
    <row r="566" spans="28:28" x14ac:dyDescent="0.2">
      <c r="AB566" s="19"/>
    </row>
    <row r="567" spans="28:28" x14ac:dyDescent="0.2">
      <c r="AB567" s="19"/>
    </row>
    <row r="568" spans="28:28" x14ac:dyDescent="0.2">
      <c r="AB568" s="19"/>
    </row>
    <row r="569" spans="28:28" x14ac:dyDescent="0.2">
      <c r="AB569" s="19"/>
    </row>
    <row r="570" spans="28:28" x14ac:dyDescent="0.2">
      <c r="AB570" s="19"/>
    </row>
    <row r="571" spans="28:28" x14ac:dyDescent="0.2">
      <c r="AB571" s="19"/>
    </row>
    <row r="572" spans="28:28" x14ac:dyDescent="0.2">
      <c r="AB572" s="19"/>
    </row>
    <row r="573" spans="28:28" x14ac:dyDescent="0.2">
      <c r="AB573" s="19"/>
    </row>
    <row r="574" spans="28:28" x14ac:dyDescent="0.2">
      <c r="AB574" s="19"/>
    </row>
    <row r="575" spans="28:28" x14ac:dyDescent="0.2">
      <c r="AB575" s="19"/>
    </row>
    <row r="576" spans="28:28" x14ac:dyDescent="0.2">
      <c r="AB576" s="19"/>
    </row>
    <row r="577" spans="28:28" x14ac:dyDescent="0.2">
      <c r="AB577" s="19"/>
    </row>
    <row r="578" spans="28:28" x14ac:dyDescent="0.2">
      <c r="AB578" s="19"/>
    </row>
    <row r="579" spans="28:28" x14ac:dyDescent="0.2">
      <c r="AB579" s="19"/>
    </row>
    <row r="580" spans="28:28" x14ac:dyDescent="0.2">
      <c r="AB580" s="19"/>
    </row>
    <row r="581" spans="28:28" x14ac:dyDescent="0.2">
      <c r="AB581" s="19"/>
    </row>
    <row r="582" spans="28:28" x14ac:dyDescent="0.2">
      <c r="AB582" s="19"/>
    </row>
    <row r="583" spans="28:28" x14ac:dyDescent="0.2">
      <c r="AB583" s="19"/>
    </row>
    <row r="584" spans="28:28" x14ac:dyDescent="0.2">
      <c r="AB584" s="19"/>
    </row>
    <row r="585" spans="28:28" x14ac:dyDescent="0.2">
      <c r="AB585" s="19"/>
    </row>
    <row r="586" spans="28:28" x14ac:dyDescent="0.2">
      <c r="AB586" s="19"/>
    </row>
    <row r="587" spans="28:28" x14ac:dyDescent="0.2">
      <c r="AB587" s="19"/>
    </row>
    <row r="588" spans="28:28" x14ac:dyDescent="0.2">
      <c r="AB588" s="19"/>
    </row>
    <row r="589" spans="28:28" x14ac:dyDescent="0.2">
      <c r="AB589" s="19"/>
    </row>
    <row r="590" spans="28:28" x14ac:dyDescent="0.2">
      <c r="AB590" s="19"/>
    </row>
    <row r="591" spans="28:28" x14ac:dyDescent="0.2">
      <c r="AB591" s="19"/>
    </row>
    <row r="592" spans="28:28" x14ac:dyDescent="0.2">
      <c r="AB592" s="19"/>
    </row>
    <row r="593" spans="28:28" x14ac:dyDescent="0.2">
      <c r="AB593" s="19"/>
    </row>
    <row r="594" spans="28:28" x14ac:dyDescent="0.2">
      <c r="AB594" s="19"/>
    </row>
    <row r="595" spans="28:28" x14ac:dyDescent="0.2">
      <c r="AB595" s="19"/>
    </row>
    <row r="596" spans="28:28" x14ac:dyDescent="0.2">
      <c r="AB596" s="19"/>
    </row>
    <row r="597" spans="28:28" x14ac:dyDescent="0.2">
      <c r="AB597" s="19"/>
    </row>
    <row r="598" spans="28:28" x14ac:dyDescent="0.2">
      <c r="AB598" s="19"/>
    </row>
    <row r="599" spans="28:28" x14ac:dyDescent="0.2">
      <c r="AB599" s="19"/>
    </row>
    <row r="600" spans="28:28" x14ac:dyDescent="0.2">
      <c r="AB600" s="19"/>
    </row>
    <row r="601" spans="28:28" x14ac:dyDescent="0.2">
      <c r="AB601" s="19"/>
    </row>
    <row r="602" spans="28:28" x14ac:dyDescent="0.2">
      <c r="AB602" s="19"/>
    </row>
    <row r="603" spans="28:28" x14ac:dyDescent="0.2">
      <c r="AB603" s="19"/>
    </row>
    <row r="604" spans="28:28" x14ac:dyDescent="0.2">
      <c r="AB604" s="19"/>
    </row>
    <row r="605" spans="28:28" x14ac:dyDescent="0.2">
      <c r="AB605" s="7"/>
    </row>
    <row r="606" spans="28:28" x14ac:dyDescent="0.2">
      <c r="AB606" s="7"/>
    </row>
    <row r="607" spans="28:28" x14ac:dyDescent="0.2">
      <c r="AB607" s="7"/>
    </row>
    <row r="608" spans="28:28" x14ac:dyDescent="0.2">
      <c r="AB608" s="7"/>
    </row>
    <row r="609" spans="28:28" x14ac:dyDescent="0.2">
      <c r="AB609" s="7"/>
    </row>
    <row r="610" spans="28:28" x14ac:dyDescent="0.2">
      <c r="AB610" s="7"/>
    </row>
    <row r="611" spans="28:28" x14ac:dyDescent="0.2">
      <c r="AB611" s="7"/>
    </row>
    <row r="612" spans="28:28" x14ac:dyDescent="0.2">
      <c r="AB612" s="19"/>
    </row>
    <row r="613" spans="28:28" x14ac:dyDescent="0.2">
      <c r="AB613" s="19"/>
    </row>
    <row r="614" spans="28:28" x14ac:dyDescent="0.2">
      <c r="AB614" s="19"/>
    </row>
    <row r="615" spans="28:28" x14ac:dyDescent="0.2">
      <c r="AB615" s="19"/>
    </row>
    <row r="616" spans="28:28" x14ac:dyDescent="0.2">
      <c r="AB616" s="19"/>
    </row>
    <row r="617" spans="28:28" x14ac:dyDescent="0.2">
      <c r="AB617" s="19"/>
    </row>
    <row r="618" spans="28:28" x14ac:dyDescent="0.2">
      <c r="AB618" s="19"/>
    </row>
    <row r="619" spans="28:28" x14ac:dyDescent="0.2">
      <c r="AB619" s="19"/>
    </row>
    <row r="620" spans="28:28" x14ac:dyDescent="0.2">
      <c r="AB620" s="19"/>
    </row>
    <row r="621" spans="28:28" x14ac:dyDescent="0.2">
      <c r="AB621" s="19"/>
    </row>
    <row r="622" spans="28:28" x14ac:dyDescent="0.2">
      <c r="AB622" s="19"/>
    </row>
    <row r="623" spans="28:28" x14ac:dyDescent="0.2">
      <c r="AB623" s="19"/>
    </row>
    <row r="624" spans="28:28" x14ac:dyDescent="0.2">
      <c r="AB624" s="19"/>
    </row>
    <row r="625" spans="28:28" x14ac:dyDescent="0.2">
      <c r="AB625" s="19"/>
    </row>
    <row r="626" spans="28:28" x14ac:dyDescent="0.2">
      <c r="AB626" s="19"/>
    </row>
    <row r="627" spans="28:28" x14ac:dyDescent="0.2">
      <c r="AB627" s="19"/>
    </row>
    <row r="628" spans="28:28" x14ac:dyDescent="0.2">
      <c r="AB628" s="19"/>
    </row>
    <row r="629" spans="28:28" x14ac:dyDescent="0.2">
      <c r="AB629" s="7"/>
    </row>
    <row r="630" spans="28:28" x14ac:dyDescent="0.2">
      <c r="AB630" s="7"/>
    </row>
    <row r="631" spans="28:28" x14ac:dyDescent="0.2">
      <c r="AB631" s="7"/>
    </row>
    <row r="632" spans="28:28" x14ac:dyDescent="0.2">
      <c r="AB632" s="7"/>
    </row>
    <row r="633" spans="28:28" x14ac:dyDescent="0.2">
      <c r="AB633" s="7"/>
    </row>
    <row r="634" spans="28:28" x14ac:dyDescent="0.2">
      <c r="AB634" s="7"/>
    </row>
    <row r="635" spans="28:28" x14ac:dyDescent="0.2">
      <c r="AB635" s="7"/>
    </row>
    <row r="636" spans="28:28" x14ac:dyDescent="0.2">
      <c r="AB636" s="19"/>
    </row>
    <row r="637" spans="28:28" x14ac:dyDescent="0.2">
      <c r="AB637" s="19"/>
    </row>
    <row r="638" spans="28:28" x14ac:dyDescent="0.2">
      <c r="AB638" s="19"/>
    </row>
    <row r="639" spans="28:28" x14ac:dyDescent="0.2">
      <c r="AB639" s="19"/>
    </row>
    <row r="640" spans="28:28" x14ac:dyDescent="0.2">
      <c r="AB640" s="19"/>
    </row>
    <row r="641" spans="1:28" x14ac:dyDescent="0.2">
      <c r="AB641" s="19"/>
    </row>
    <row r="642" spans="1:28" x14ac:dyDescent="0.2">
      <c r="AB642" s="19"/>
    </row>
    <row r="643" spans="1:28" ht="14.25" customHeight="1" x14ac:dyDescent="0.2">
      <c r="AB643" s="19"/>
    </row>
    <row r="644" spans="1:28" s="19" customFormat="1" ht="14.25" customHeight="1" x14ac:dyDescent="0.2">
      <c r="A644" s="25"/>
      <c r="B644" s="25"/>
      <c r="C644" s="25"/>
      <c r="D644" s="25"/>
      <c r="E644" s="25"/>
      <c r="F644" s="25"/>
      <c r="G644" s="25"/>
      <c r="H644" s="25"/>
      <c r="I644" s="25"/>
      <c r="J644" s="25"/>
      <c r="K644" s="25"/>
      <c r="L644" s="25"/>
      <c r="M644" s="25"/>
      <c r="N644" s="25"/>
      <c r="O644" s="25"/>
      <c r="P644" s="25"/>
      <c r="Q644" s="25"/>
      <c r="R644" s="25"/>
      <c r="S644" s="25"/>
      <c r="T644" s="25"/>
      <c r="U644" s="25"/>
      <c r="V644" s="25"/>
      <c r="W644" s="25"/>
      <c r="X644" s="25"/>
      <c r="Y644" s="25"/>
      <c r="Z644" s="25"/>
      <c r="AA644" s="25"/>
    </row>
    <row r="645" spans="1:28" s="19" customFormat="1" ht="14.25" customHeight="1" x14ac:dyDescent="0.2">
      <c r="A645" s="25"/>
      <c r="B645" s="25"/>
      <c r="C645" s="25"/>
      <c r="D645" s="25"/>
      <c r="E645" s="25"/>
      <c r="F645" s="25"/>
      <c r="G645" s="25"/>
      <c r="H645" s="25"/>
      <c r="I645" s="25"/>
      <c r="J645" s="25"/>
      <c r="K645" s="25"/>
      <c r="L645" s="25"/>
      <c r="M645" s="25"/>
      <c r="N645" s="25"/>
      <c r="O645" s="25"/>
      <c r="P645" s="25"/>
      <c r="Q645" s="25"/>
      <c r="R645" s="25"/>
      <c r="S645" s="25"/>
      <c r="T645" s="25"/>
      <c r="U645" s="25"/>
      <c r="V645" s="25"/>
      <c r="W645" s="25"/>
      <c r="X645" s="25"/>
      <c r="Y645" s="25"/>
      <c r="Z645" s="25"/>
      <c r="AA645" s="25"/>
    </row>
    <row r="646" spans="1:28" x14ac:dyDescent="0.2">
      <c r="AB646" s="19"/>
    </row>
    <row r="647" spans="1:28" x14ac:dyDescent="0.2">
      <c r="AB647" s="19"/>
    </row>
    <row r="648" spans="1:28" x14ac:dyDescent="0.2">
      <c r="AB648" s="19"/>
    </row>
    <row r="649" spans="1:28" x14ac:dyDescent="0.2">
      <c r="AB649" s="19"/>
    </row>
    <row r="650" spans="1:28" x14ac:dyDescent="0.2">
      <c r="AB650" s="19"/>
    </row>
    <row r="651" spans="1:28" x14ac:dyDescent="0.2">
      <c r="AB651" s="19"/>
    </row>
    <row r="652" spans="1:28" x14ac:dyDescent="0.2">
      <c r="AB652" s="19"/>
    </row>
    <row r="653" spans="1:28" x14ac:dyDescent="0.2">
      <c r="AB653" s="7"/>
    </row>
    <row r="654" spans="1:28" x14ac:dyDescent="0.2">
      <c r="AB654" s="7"/>
    </row>
    <row r="655" spans="1:28" x14ac:dyDescent="0.2">
      <c r="AB655" s="7"/>
    </row>
    <row r="656" spans="1:28" x14ac:dyDescent="0.2">
      <c r="AB656" s="7"/>
    </row>
    <row r="657" spans="28:28" x14ac:dyDescent="0.2">
      <c r="AB657" s="7"/>
    </row>
    <row r="658" spans="28:28" x14ac:dyDescent="0.2">
      <c r="AB658" s="7"/>
    </row>
    <row r="659" spans="28:28" x14ac:dyDescent="0.2">
      <c r="AB659" s="7"/>
    </row>
    <row r="660" spans="28:28" x14ac:dyDescent="0.2">
      <c r="AB660" s="19"/>
    </row>
    <row r="661" spans="28:28" x14ac:dyDescent="0.2">
      <c r="AB661" s="19"/>
    </row>
    <row r="662" spans="28:28" x14ac:dyDescent="0.2">
      <c r="AB662" s="19"/>
    </row>
    <row r="663" spans="28:28" x14ac:dyDescent="0.2">
      <c r="AB663" s="19"/>
    </row>
    <row r="664" spans="28:28" x14ac:dyDescent="0.2">
      <c r="AB664" s="19"/>
    </row>
    <row r="665" spans="28:28" x14ac:dyDescent="0.2">
      <c r="AB665" s="19"/>
    </row>
    <row r="666" spans="28:28" x14ac:dyDescent="0.2">
      <c r="AB666" s="19"/>
    </row>
    <row r="667" spans="28:28" x14ac:dyDescent="0.2">
      <c r="AB667" s="19"/>
    </row>
    <row r="668" spans="28:28" x14ac:dyDescent="0.2">
      <c r="AB668" s="19"/>
    </row>
    <row r="669" spans="28:28" x14ac:dyDescent="0.2">
      <c r="AB669" s="19"/>
    </row>
    <row r="670" spans="28:28" x14ac:dyDescent="0.2">
      <c r="AB670" s="19"/>
    </row>
    <row r="671" spans="28:28" x14ac:dyDescent="0.2">
      <c r="AB671" s="19"/>
    </row>
    <row r="672" spans="28:28" x14ac:dyDescent="0.2">
      <c r="AB672" s="19"/>
    </row>
    <row r="673" spans="28:28" x14ac:dyDescent="0.2">
      <c r="AB673" s="19"/>
    </row>
    <row r="674" spans="28:28" x14ac:dyDescent="0.2">
      <c r="AB674" s="19"/>
    </row>
    <row r="675" spans="28:28" x14ac:dyDescent="0.2">
      <c r="AB675" s="19"/>
    </row>
    <row r="676" spans="28:28" x14ac:dyDescent="0.2">
      <c r="AB676" s="19"/>
    </row>
    <row r="677" spans="28:28" x14ac:dyDescent="0.2">
      <c r="AB677" s="7"/>
    </row>
    <row r="678" spans="28:28" x14ac:dyDescent="0.2">
      <c r="AB678" s="7"/>
    </row>
    <row r="679" spans="28:28" x14ac:dyDescent="0.2">
      <c r="AB679" s="7"/>
    </row>
    <row r="680" spans="28:28" x14ac:dyDescent="0.2">
      <c r="AB680" s="7"/>
    </row>
    <row r="681" spans="28:28" x14ac:dyDescent="0.2">
      <c r="AB681" s="7"/>
    </row>
    <row r="682" spans="28:28" x14ac:dyDescent="0.2">
      <c r="AB682" s="7"/>
    </row>
    <row r="683" spans="28:28" x14ac:dyDescent="0.2">
      <c r="AB683" s="7"/>
    </row>
    <row r="693" spans="28:28" x14ac:dyDescent="0.2">
      <c r="AB693" s="28"/>
    </row>
    <row r="694" spans="28:28" x14ac:dyDescent="0.2">
      <c r="AB694" s="28"/>
    </row>
    <row r="695" spans="28:28" x14ac:dyDescent="0.2">
      <c r="AB695" s="28"/>
    </row>
    <row r="696" spans="28:28" x14ac:dyDescent="0.2">
      <c r="AB696" s="28"/>
    </row>
    <row r="697" spans="28:28" x14ac:dyDescent="0.2">
      <c r="AB697" s="28"/>
    </row>
    <row r="698" spans="28:28" x14ac:dyDescent="0.2">
      <c r="AB698" s="28"/>
    </row>
    <row r="716" s="25" customFormat="1" ht="14.25" customHeight="1" x14ac:dyDescent="0.2"/>
    <row r="717" s="25" customFormat="1" ht="14.25" customHeight="1" x14ac:dyDescent="0.2"/>
    <row r="718" s="25" customFormat="1" ht="14.25" customHeight="1" x14ac:dyDescent="0.2"/>
    <row r="719" s="25" customFormat="1" ht="14.25" customHeight="1" x14ac:dyDescent="0.2"/>
    <row r="720" s="25" customFormat="1" ht="14.25" customHeight="1" x14ac:dyDescent="0.2"/>
    <row r="721" s="25" customFormat="1" ht="14.25" customHeight="1" x14ac:dyDescent="0.2"/>
    <row r="722" s="25" customFormat="1" ht="14.25" customHeight="1" x14ac:dyDescent="0.2"/>
    <row r="723" s="25" customFormat="1" ht="14.25" customHeight="1" x14ac:dyDescent="0.2"/>
    <row r="724" s="25" customFormat="1" ht="14.25" customHeight="1" x14ac:dyDescent="0.2"/>
    <row r="725" s="25" customFormat="1" ht="14.25" customHeight="1" x14ac:dyDescent="0.2"/>
    <row r="726" s="25" customFormat="1" ht="14.25" customHeight="1" x14ac:dyDescent="0.2"/>
    <row r="727" s="25" customFormat="1" ht="14.25" customHeight="1" x14ac:dyDescent="0.2"/>
    <row r="728" s="25" customFormat="1" ht="14.25" customHeight="1" x14ac:dyDescent="0.2"/>
  </sheetData>
  <mergeCells count="82">
    <mergeCell ref="B553:B557"/>
    <mergeCell ref="A476:A557"/>
    <mergeCell ref="B286:B290"/>
    <mergeCell ref="B293:B297"/>
    <mergeCell ref="B300:B304"/>
    <mergeCell ref="B307:B311"/>
    <mergeCell ref="B322:B326"/>
    <mergeCell ref="B315:B319"/>
    <mergeCell ref="B329:B333"/>
    <mergeCell ref="B336:B340"/>
    <mergeCell ref="B356:B360"/>
    <mergeCell ref="B349:B353"/>
    <mergeCell ref="B343:B347"/>
    <mergeCell ref="B363:B367"/>
    <mergeCell ref="A379:U379"/>
    <mergeCell ref="B504:B508"/>
    <mergeCell ref="B511:B515"/>
    <mergeCell ref="B518:B522"/>
    <mergeCell ref="D1:AB1"/>
    <mergeCell ref="B32:B36"/>
    <mergeCell ref="B9:B13"/>
    <mergeCell ref="B15:B19"/>
    <mergeCell ref="B21:B25"/>
    <mergeCell ref="B446:B450"/>
    <mergeCell ref="B219:B223"/>
    <mergeCell ref="B226:B230"/>
    <mergeCell ref="B410:B414"/>
    <mergeCell ref="B417:B421"/>
    <mergeCell ref="B424:B428"/>
    <mergeCell ref="B431:B435"/>
    <mergeCell ref="B439:B443"/>
    <mergeCell ref="B261:B265"/>
    <mergeCell ref="B59:B63"/>
    <mergeCell ref="B66:B70"/>
    <mergeCell ref="B73:B77"/>
    <mergeCell ref="B80:B85"/>
    <mergeCell ref="B96:B100"/>
    <mergeCell ref="B212:B216"/>
    <mergeCell ref="A382:A465"/>
    <mergeCell ref="B395:B399"/>
    <mergeCell ref="B402:B406"/>
    <mergeCell ref="A97:A158"/>
    <mergeCell ref="A284:T284"/>
    <mergeCell ref="B190:B194"/>
    <mergeCell ref="B197:B201"/>
    <mergeCell ref="B204:B208"/>
    <mergeCell ref="B388:B392"/>
    <mergeCell ref="B247:B251"/>
    <mergeCell ref="B254:B258"/>
    <mergeCell ref="B381:B385"/>
    <mergeCell ref="B138:B142"/>
    <mergeCell ref="B145:B149"/>
    <mergeCell ref="B546:B550"/>
    <mergeCell ref="B539:B543"/>
    <mergeCell ref="B532:B536"/>
    <mergeCell ref="B240:B244"/>
    <mergeCell ref="B453:B457"/>
    <mergeCell ref="B460:B464"/>
    <mergeCell ref="B475:B479"/>
    <mergeCell ref="B482:B486"/>
    <mergeCell ref="B489:B493"/>
    <mergeCell ref="B496:B500"/>
    <mergeCell ref="A473:U473"/>
    <mergeCell ref="B525:B529"/>
    <mergeCell ref="A184:A266"/>
    <mergeCell ref="B183:B187"/>
    <mergeCell ref="B3:B7"/>
    <mergeCell ref="B233:B237"/>
    <mergeCell ref="A181:S181"/>
    <mergeCell ref="A287:A369"/>
    <mergeCell ref="B160:B164"/>
    <mergeCell ref="B167:B171"/>
    <mergeCell ref="B174:B178"/>
    <mergeCell ref="B39:B43"/>
    <mergeCell ref="B45:B49"/>
    <mergeCell ref="B51:B55"/>
    <mergeCell ref="B124:B128"/>
    <mergeCell ref="B153:B157"/>
    <mergeCell ref="B103:B107"/>
    <mergeCell ref="B110:B114"/>
    <mergeCell ref="B117:B121"/>
    <mergeCell ref="B131:B135"/>
  </mergeCells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693B23-4B68-432B-97B4-0974DABD617B}">
  <dimension ref="A1:AA728"/>
  <sheetViews>
    <sheetView tabSelected="1" topLeftCell="C1" zoomScale="85" zoomScaleNormal="85" workbookViewId="0">
      <selection activeCell="F51" sqref="F51"/>
    </sheetView>
  </sheetViews>
  <sheetFormatPr defaultColWidth="23.75" defaultRowHeight="14.25" x14ac:dyDescent="0.2"/>
  <cols>
    <col min="1" max="16384" width="23.75" style="105"/>
  </cols>
  <sheetData>
    <row r="1" spans="1:27" x14ac:dyDescent="0.2">
      <c r="D1" s="105" t="s">
        <v>769</v>
      </c>
    </row>
    <row r="2" spans="1:27" x14ac:dyDescent="0.2">
      <c r="D2" s="105" t="s">
        <v>47</v>
      </c>
      <c r="E2" s="105" t="s">
        <v>48</v>
      </c>
      <c r="F2" s="105" t="s">
        <v>49</v>
      </c>
      <c r="G2" s="105" t="s">
        <v>50</v>
      </c>
      <c r="H2" s="105" t="s">
        <v>51</v>
      </c>
      <c r="I2" s="105" t="s">
        <v>52</v>
      </c>
      <c r="J2" s="105" t="s">
        <v>53</v>
      </c>
      <c r="K2" s="105">
        <v>0.01</v>
      </c>
      <c r="L2" s="105">
        <v>0.05</v>
      </c>
      <c r="M2" s="105">
        <v>0.1</v>
      </c>
      <c r="N2" s="105">
        <v>0.2</v>
      </c>
      <c r="O2" s="105">
        <v>0.3</v>
      </c>
      <c r="P2" s="105">
        <v>0.4</v>
      </c>
      <c r="Q2" s="105">
        <v>0.5</v>
      </c>
      <c r="R2" s="105">
        <v>0.6</v>
      </c>
      <c r="S2" s="105">
        <v>0.7</v>
      </c>
      <c r="T2" s="105">
        <v>0.8</v>
      </c>
      <c r="U2" s="105">
        <v>0.9</v>
      </c>
      <c r="V2" s="105">
        <v>0.95</v>
      </c>
      <c r="W2" s="105">
        <v>0.99</v>
      </c>
      <c r="X2" s="105">
        <v>0.995</v>
      </c>
      <c r="Y2" s="105">
        <v>0.999</v>
      </c>
      <c r="Z2" s="105">
        <v>0.99950000000000006</v>
      </c>
      <c r="AA2" s="105">
        <v>0.99990000000000001</v>
      </c>
    </row>
    <row r="3" spans="1:27" x14ac:dyDescent="0.2">
      <c r="A3" s="105" t="s">
        <v>770</v>
      </c>
      <c r="B3" s="105" t="s">
        <v>771</v>
      </c>
      <c r="C3" s="105" t="s">
        <v>772</v>
      </c>
      <c r="D3" s="105" t="s">
        <v>118</v>
      </c>
      <c r="E3" s="105" t="s">
        <v>119</v>
      </c>
      <c r="F3" s="105" t="s">
        <v>120</v>
      </c>
      <c r="G3" s="105" t="s">
        <v>68</v>
      </c>
      <c r="H3" s="105" t="s">
        <v>121</v>
      </c>
      <c r="I3" s="105" t="s">
        <v>122</v>
      </c>
      <c r="J3" s="105" t="s">
        <v>123</v>
      </c>
      <c r="K3" s="105" t="s">
        <v>124</v>
      </c>
      <c r="L3" s="105" t="s">
        <v>125</v>
      </c>
      <c r="M3" s="105" t="s">
        <v>126</v>
      </c>
      <c r="N3" s="105" t="s">
        <v>127</v>
      </c>
      <c r="O3" s="105" t="s">
        <v>128</v>
      </c>
      <c r="P3" s="105" t="s">
        <v>129</v>
      </c>
      <c r="Q3" s="105" t="s">
        <v>130</v>
      </c>
      <c r="R3" s="105" t="s">
        <v>131</v>
      </c>
      <c r="S3" s="105" t="s">
        <v>132</v>
      </c>
      <c r="T3" s="105" t="s">
        <v>133</v>
      </c>
      <c r="U3" s="105" t="s">
        <v>134</v>
      </c>
      <c r="V3" s="105" t="s">
        <v>135</v>
      </c>
      <c r="W3" s="105" t="s">
        <v>90</v>
      </c>
      <c r="X3" s="105" t="s">
        <v>136</v>
      </c>
      <c r="Y3" s="105" t="s">
        <v>137</v>
      </c>
      <c r="Z3" s="105" t="s">
        <v>137</v>
      </c>
      <c r="AA3" s="105" t="s">
        <v>138</v>
      </c>
    </row>
    <row r="4" spans="1:27" x14ac:dyDescent="0.2">
      <c r="C4" s="105" t="s">
        <v>773</v>
      </c>
      <c r="D4" s="105">
        <v>10165</v>
      </c>
      <c r="E4" s="105">
        <v>317.5</v>
      </c>
      <c r="K4" s="105">
        <v>55</v>
      </c>
      <c r="L4" s="105">
        <v>59</v>
      </c>
      <c r="M4" s="105">
        <v>59</v>
      </c>
      <c r="N4" s="105">
        <v>59</v>
      </c>
      <c r="O4" s="105">
        <v>60</v>
      </c>
      <c r="P4" s="105">
        <v>60</v>
      </c>
      <c r="Q4" s="105">
        <v>64</v>
      </c>
      <c r="R4" s="105">
        <v>65</v>
      </c>
      <c r="S4" s="105">
        <v>67</v>
      </c>
      <c r="T4" s="105">
        <v>69</v>
      </c>
      <c r="U4" s="105">
        <v>80</v>
      </c>
      <c r="V4" s="105">
        <v>87</v>
      </c>
      <c r="W4" s="105">
        <v>110</v>
      </c>
      <c r="X4" s="105">
        <v>11707</v>
      </c>
      <c r="Y4" s="105">
        <v>14017</v>
      </c>
      <c r="Z4" s="105">
        <v>16064</v>
      </c>
      <c r="AA4" s="105">
        <v>23419</v>
      </c>
    </row>
    <row r="5" spans="1:27" x14ac:dyDescent="0.2">
      <c r="C5" s="105" t="s">
        <v>774</v>
      </c>
      <c r="D5" s="105">
        <v>1243.1082802547771</v>
      </c>
      <c r="E5" s="105">
        <v>38.859414758269729</v>
      </c>
      <c r="F5" s="105">
        <v>40.81674757281553</v>
      </c>
      <c r="G5" s="105">
        <v>85.05042016806722</v>
      </c>
      <c r="H5" s="105">
        <v>105450.78916449087</v>
      </c>
      <c r="I5" s="105">
        <v>797.72640999510963</v>
      </c>
      <c r="J5" s="105">
        <v>6790.6608772867039</v>
      </c>
      <c r="K5" s="105">
        <v>245.00719424460431</v>
      </c>
      <c r="L5" s="105">
        <v>259.30069930069931</v>
      </c>
      <c r="M5" s="105">
        <v>272.7832167832168</v>
      </c>
      <c r="N5" s="105">
        <v>289.66206896551722</v>
      </c>
      <c r="O5" s="105">
        <v>302.72108843537416</v>
      </c>
      <c r="P5" s="105">
        <v>311.40397350993373</v>
      </c>
      <c r="Q5" s="105">
        <v>310.67515923566879</v>
      </c>
      <c r="R5" s="105">
        <v>317.96273291925468</v>
      </c>
      <c r="S5" s="105">
        <v>321.56363636363636</v>
      </c>
      <c r="T5" s="105">
        <v>324</v>
      </c>
      <c r="U5" s="105">
        <v>347.84042553191489</v>
      </c>
      <c r="V5" s="105">
        <v>376</v>
      </c>
      <c r="W5" s="105">
        <v>501</v>
      </c>
      <c r="X5" s="105">
        <v>98042</v>
      </c>
      <c r="Y5" s="105">
        <v>99092</v>
      </c>
      <c r="Z5" s="105">
        <v>99092</v>
      </c>
      <c r="AA5" s="105">
        <v>100140</v>
      </c>
    </row>
    <row r="6" spans="1:27" x14ac:dyDescent="0.2">
      <c r="C6" s="105" t="s">
        <v>775</v>
      </c>
      <c r="D6" s="105" t="s">
        <v>355</v>
      </c>
      <c r="E6" s="105" t="s">
        <v>356</v>
      </c>
      <c r="F6" s="105" t="s">
        <v>357</v>
      </c>
      <c r="G6" s="105" t="s">
        <v>307</v>
      </c>
      <c r="H6" s="105" t="s">
        <v>358</v>
      </c>
      <c r="I6" s="105" t="s">
        <v>359</v>
      </c>
      <c r="J6" s="105" t="s">
        <v>360</v>
      </c>
      <c r="K6" s="105" t="s">
        <v>213</v>
      </c>
      <c r="L6" s="105" t="s">
        <v>181</v>
      </c>
      <c r="M6" s="105" t="s">
        <v>107</v>
      </c>
      <c r="N6" s="105" t="s">
        <v>110</v>
      </c>
      <c r="O6" s="105" t="s">
        <v>77</v>
      </c>
      <c r="P6" s="105" t="s">
        <v>145</v>
      </c>
      <c r="Q6" s="105" t="s">
        <v>114</v>
      </c>
      <c r="R6" s="105" t="s">
        <v>146</v>
      </c>
      <c r="S6" s="105" t="s">
        <v>148</v>
      </c>
      <c r="T6" s="105" t="s">
        <v>245</v>
      </c>
      <c r="U6" s="105" t="s">
        <v>182</v>
      </c>
      <c r="V6" s="105" t="s">
        <v>130</v>
      </c>
      <c r="W6" s="105" t="s">
        <v>228</v>
      </c>
      <c r="X6" s="105" t="s">
        <v>80</v>
      </c>
      <c r="Y6" s="105" t="s">
        <v>361</v>
      </c>
      <c r="Z6" s="105" t="s">
        <v>362</v>
      </c>
      <c r="AA6" s="105" t="s">
        <v>154</v>
      </c>
    </row>
    <row r="7" spans="1:27" x14ac:dyDescent="0.2">
      <c r="C7" s="105" t="s">
        <v>776</v>
      </c>
      <c r="D7" s="105" t="s">
        <v>355</v>
      </c>
      <c r="E7" s="105" t="s">
        <v>356</v>
      </c>
      <c r="F7" s="105" t="s">
        <v>357</v>
      </c>
      <c r="G7" s="105" t="s">
        <v>307</v>
      </c>
      <c r="H7" s="105" t="s">
        <v>358</v>
      </c>
      <c r="I7" s="105" t="s">
        <v>359</v>
      </c>
      <c r="J7" s="105" t="s">
        <v>360</v>
      </c>
      <c r="K7" s="105" t="s">
        <v>213</v>
      </c>
      <c r="L7" s="105" t="s">
        <v>181</v>
      </c>
      <c r="M7" s="105" t="s">
        <v>107</v>
      </c>
      <c r="N7" s="105" t="s">
        <v>110</v>
      </c>
      <c r="O7" s="105" t="s">
        <v>77</v>
      </c>
      <c r="P7" s="105" t="s">
        <v>145</v>
      </c>
      <c r="Q7" s="105" t="s">
        <v>114</v>
      </c>
      <c r="R7" s="105" t="s">
        <v>146</v>
      </c>
      <c r="S7" s="105" t="s">
        <v>148</v>
      </c>
      <c r="T7" s="105" t="s">
        <v>245</v>
      </c>
      <c r="U7" s="105" t="s">
        <v>182</v>
      </c>
      <c r="V7" s="105" t="s">
        <v>130</v>
      </c>
      <c r="W7" s="105" t="s">
        <v>228</v>
      </c>
      <c r="X7" s="105" t="s">
        <v>80</v>
      </c>
      <c r="Y7" s="105" t="s">
        <v>361</v>
      </c>
      <c r="Z7" s="105" t="s">
        <v>362</v>
      </c>
      <c r="AA7" s="105" t="s">
        <v>154</v>
      </c>
    </row>
    <row r="8" spans="1:27" x14ac:dyDescent="0.2">
      <c r="D8" s="105" t="s">
        <v>47</v>
      </c>
      <c r="E8" s="105" t="s">
        <v>48</v>
      </c>
      <c r="F8" s="105" t="s">
        <v>49</v>
      </c>
      <c r="G8" s="105" t="s">
        <v>50</v>
      </c>
      <c r="H8" s="105" t="s">
        <v>51</v>
      </c>
      <c r="I8" s="105" t="s">
        <v>52</v>
      </c>
      <c r="J8" s="105" t="s">
        <v>53</v>
      </c>
      <c r="K8" s="105">
        <v>0.01</v>
      </c>
      <c r="L8" s="105">
        <v>0.05</v>
      </c>
      <c r="M8" s="105">
        <v>0.1</v>
      </c>
      <c r="N8" s="105">
        <v>0.2</v>
      </c>
      <c r="O8" s="105">
        <v>0.3</v>
      </c>
      <c r="P8" s="105">
        <v>0.4</v>
      </c>
      <c r="Q8" s="105">
        <v>0.5</v>
      </c>
      <c r="R8" s="105">
        <v>0.6</v>
      </c>
      <c r="S8" s="105">
        <v>0.7</v>
      </c>
      <c r="T8" s="105">
        <v>0.8</v>
      </c>
      <c r="U8" s="105">
        <v>0.9</v>
      </c>
      <c r="V8" s="105">
        <v>0.95</v>
      </c>
      <c r="W8" s="105">
        <v>0.99</v>
      </c>
      <c r="X8" s="105">
        <v>0.995</v>
      </c>
      <c r="Y8" s="105">
        <v>0.999</v>
      </c>
      <c r="Z8" s="105">
        <v>0.99950000000000006</v>
      </c>
      <c r="AA8" s="105">
        <v>0.99990000000000001</v>
      </c>
    </row>
    <row r="9" spans="1:27" x14ac:dyDescent="0.2">
      <c r="B9" s="105" t="s">
        <v>777</v>
      </c>
      <c r="C9" s="105" t="s">
        <v>772</v>
      </c>
      <c r="D9" s="105" t="s">
        <v>590</v>
      </c>
      <c r="E9" s="105" t="s">
        <v>591</v>
      </c>
      <c r="F9" s="105" t="s">
        <v>592</v>
      </c>
      <c r="G9" s="105" t="s">
        <v>95</v>
      </c>
      <c r="H9" s="105" t="s">
        <v>593</v>
      </c>
      <c r="I9" s="105" t="s">
        <v>594</v>
      </c>
      <c r="J9" s="105" t="s">
        <v>595</v>
      </c>
      <c r="K9" s="105" t="s">
        <v>81</v>
      </c>
      <c r="L9" s="105" t="s">
        <v>68</v>
      </c>
      <c r="M9" s="105" t="s">
        <v>68</v>
      </c>
      <c r="N9" s="105" t="s">
        <v>68</v>
      </c>
      <c r="O9" s="105" t="s">
        <v>68</v>
      </c>
      <c r="P9" s="105" t="s">
        <v>244</v>
      </c>
      <c r="Q9" s="105" t="s">
        <v>233</v>
      </c>
      <c r="R9" s="105" t="s">
        <v>111</v>
      </c>
      <c r="S9" s="105" t="s">
        <v>125</v>
      </c>
      <c r="T9" s="105" t="s">
        <v>152</v>
      </c>
      <c r="U9" s="105" t="s">
        <v>342</v>
      </c>
      <c r="V9" s="105" t="s">
        <v>263</v>
      </c>
      <c r="W9" s="105" t="s">
        <v>322</v>
      </c>
      <c r="X9" s="105" t="s">
        <v>596</v>
      </c>
      <c r="Y9" s="105" t="s">
        <v>597</v>
      </c>
      <c r="Z9" s="105" t="s">
        <v>597</v>
      </c>
      <c r="AA9" s="105" t="s">
        <v>597</v>
      </c>
    </row>
    <row r="10" spans="1:27" x14ac:dyDescent="0.2">
      <c r="C10" s="105" t="s">
        <v>773</v>
      </c>
      <c r="D10" s="105">
        <v>10938.725316455695</v>
      </c>
      <c r="E10" s="105">
        <v>341.7</v>
      </c>
    </row>
    <row r="11" spans="1:27" x14ac:dyDescent="0.2">
      <c r="C11" s="105" t="s">
        <v>774</v>
      </c>
      <c r="D11" s="105">
        <v>2922.2286585365855</v>
      </c>
      <c r="E11" s="105">
        <v>91.220462850182713</v>
      </c>
      <c r="F11" s="105">
        <v>95.705691056910581</v>
      </c>
      <c r="G11" s="105">
        <v>66.833333333333329</v>
      </c>
      <c r="H11" s="105">
        <v>108342.33551735825</v>
      </c>
      <c r="I11" s="105">
        <v>631.14539428709054</v>
      </c>
      <c r="J11" s="105">
        <v>2149.6383101323449</v>
      </c>
      <c r="K11" s="105">
        <v>94.259541984732834</v>
      </c>
      <c r="L11" s="105">
        <v>104.22556390977444</v>
      </c>
      <c r="M11" s="105">
        <v>106.11851851851853</v>
      </c>
      <c r="N11" s="105">
        <v>134.35971223021582</v>
      </c>
      <c r="O11" s="105">
        <v>2520.7375886524824</v>
      </c>
      <c r="P11" s="105">
        <v>3160.8206896551724</v>
      </c>
      <c r="Q11" s="105">
        <v>4466.0612244897957</v>
      </c>
      <c r="R11" s="105">
        <v>5181.4901960784309</v>
      </c>
      <c r="S11" s="105">
        <v>6924.4099378881983</v>
      </c>
      <c r="T11" s="105">
        <v>6763.0172413793107</v>
      </c>
      <c r="U11" s="105">
        <v>54.877225163630307</v>
      </c>
      <c r="V11" s="105">
        <v>13.711816151842203</v>
      </c>
      <c r="W11" s="105">
        <v>73.500504277785026</v>
      </c>
      <c r="X11" s="105">
        <v>41041.298407040071</v>
      </c>
      <c r="Y11" s="105">
        <v>61411.039414227016</v>
      </c>
      <c r="Z11" s="105">
        <v>65819.981668992186</v>
      </c>
      <c r="AA11" s="105">
        <v>90350.81796695909</v>
      </c>
    </row>
    <row r="12" spans="1:27" x14ac:dyDescent="0.2">
      <c r="C12" s="105" t="s">
        <v>775</v>
      </c>
      <c r="D12" s="105" t="s">
        <v>336</v>
      </c>
      <c r="E12" s="105" t="s">
        <v>337</v>
      </c>
      <c r="F12" s="105" t="s">
        <v>338</v>
      </c>
      <c r="G12" s="105" t="s">
        <v>307</v>
      </c>
      <c r="H12" s="105" t="s">
        <v>339</v>
      </c>
      <c r="I12" s="105" t="s">
        <v>340</v>
      </c>
      <c r="J12" s="105" t="s">
        <v>341</v>
      </c>
      <c r="K12" s="105" t="s">
        <v>213</v>
      </c>
      <c r="L12" s="105" t="s">
        <v>181</v>
      </c>
      <c r="M12" s="105" t="s">
        <v>107</v>
      </c>
      <c r="N12" s="105" t="s">
        <v>111</v>
      </c>
      <c r="O12" s="105" t="s">
        <v>145</v>
      </c>
      <c r="P12" s="105" t="s">
        <v>114</v>
      </c>
      <c r="Q12" s="105" t="s">
        <v>115</v>
      </c>
      <c r="R12" s="105" t="s">
        <v>150</v>
      </c>
      <c r="S12" s="105" t="s">
        <v>326</v>
      </c>
      <c r="T12" s="105" t="s">
        <v>342</v>
      </c>
      <c r="U12" s="105" t="s">
        <v>327</v>
      </c>
      <c r="V12" s="105" t="s">
        <v>343</v>
      </c>
      <c r="W12" s="105" t="s">
        <v>100</v>
      </c>
      <c r="X12" s="105" t="s">
        <v>79</v>
      </c>
      <c r="Y12" s="105" t="s">
        <v>344</v>
      </c>
      <c r="Z12" s="105" t="s">
        <v>345</v>
      </c>
      <c r="AA12" s="105" t="s">
        <v>346</v>
      </c>
    </row>
    <row r="13" spans="1:27" x14ac:dyDescent="0.2">
      <c r="C13" s="105" t="s">
        <v>776</v>
      </c>
      <c r="D13" s="105" t="s">
        <v>336</v>
      </c>
      <c r="E13" s="105" t="s">
        <v>337</v>
      </c>
      <c r="F13" s="105" t="s">
        <v>338</v>
      </c>
      <c r="G13" s="105" t="s">
        <v>307</v>
      </c>
      <c r="H13" s="105" t="s">
        <v>339</v>
      </c>
      <c r="I13" s="105" t="s">
        <v>340</v>
      </c>
      <c r="J13" s="105" t="s">
        <v>341</v>
      </c>
      <c r="K13" s="105" t="s">
        <v>213</v>
      </c>
      <c r="L13" s="105" t="s">
        <v>181</v>
      </c>
      <c r="M13" s="105" t="s">
        <v>107</v>
      </c>
      <c r="N13" s="105" t="s">
        <v>111</v>
      </c>
      <c r="O13" s="105" t="s">
        <v>145</v>
      </c>
      <c r="P13" s="105" t="s">
        <v>114</v>
      </c>
      <c r="Q13" s="105" t="s">
        <v>115</v>
      </c>
      <c r="R13" s="105" t="s">
        <v>150</v>
      </c>
      <c r="S13" s="105" t="s">
        <v>326</v>
      </c>
      <c r="T13" s="105" t="s">
        <v>342</v>
      </c>
      <c r="U13" s="105" t="s">
        <v>327</v>
      </c>
      <c r="V13" s="105" t="s">
        <v>343</v>
      </c>
      <c r="W13" s="105" t="s">
        <v>100</v>
      </c>
      <c r="X13" s="105" t="s">
        <v>79</v>
      </c>
      <c r="Y13" s="105" t="s">
        <v>344</v>
      </c>
      <c r="Z13" s="105" t="s">
        <v>345</v>
      </c>
      <c r="AA13" s="105" t="s">
        <v>346</v>
      </c>
    </row>
    <row r="14" spans="1:27" x14ac:dyDescent="0.2">
      <c r="D14" s="105" t="s">
        <v>47</v>
      </c>
      <c r="E14" s="105" t="s">
        <v>48</v>
      </c>
      <c r="F14" s="105" t="s">
        <v>49</v>
      </c>
      <c r="G14" s="105" t="s">
        <v>50</v>
      </c>
      <c r="H14" s="105" t="s">
        <v>51</v>
      </c>
      <c r="I14" s="105" t="s">
        <v>52</v>
      </c>
      <c r="J14" s="105" t="s">
        <v>53</v>
      </c>
      <c r="K14" s="105">
        <v>0.01</v>
      </c>
      <c r="L14" s="105">
        <v>0.05</v>
      </c>
      <c r="M14" s="105">
        <v>0.1</v>
      </c>
      <c r="N14" s="105">
        <v>0.2</v>
      </c>
      <c r="O14" s="105">
        <v>0.3</v>
      </c>
      <c r="P14" s="105">
        <v>0.4</v>
      </c>
      <c r="Q14" s="105">
        <v>0.5</v>
      </c>
      <c r="R14" s="105">
        <v>0.6</v>
      </c>
      <c r="S14" s="105">
        <v>0.7</v>
      </c>
      <c r="T14" s="105">
        <v>0.8</v>
      </c>
      <c r="U14" s="105">
        <v>0.9</v>
      </c>
      <c r="V14" s="105">
        <v>0.95</v>
      </c>
      <c r="W14" s="105">
        <v>0.99</v>
      </c>
      <c r="X14" s="105">
        <v>0.995</v>
      </c>
      <c r="Y14" s="105">
        <v>0.999</v>
      </c>
      <c r="Z14" s="105">
        <v>0.99950000000000006</v>
      </c>
      <c r="AA14" s="105">
        <v>0.99990000000000001</v>
      </c>
    </row>
    <row r="15" spans="1:27" x14ac:dyDescent="0.2">
      <c r="B15" s="105" t="s">
        <v>778</v>
      </c>
      <c r="C15" s="105" t="s">
        <v>772</v>
      </c>
      <c r="D15" s="105">
        <v>2688</v>
      </c>
      <c r="E15" s="105">
        <v>84</v>
      </c>
    </row>
    <row r="16" spans="1:27" x14ac:dyDescent="0.2">
      <c r="C16" s="105" t="s">
        <v>773</v>
      </c>
      <c r="D16" s="105">
        <v>11260.8</v>
      </c>
      <c r="E16" s="105">
        <v>351.9</v>
      </c>
    </row>
    <row r="17" spans="2:27" x14ac:dyDescent="0.2">
      <c r="C17" s="105" t="s">
        <v>774</v>
      </c>
      <c r="D17" s="105">
        <v>4318.8292682926831</v>
      </c>
      <c r="E17" s="105">
        <v>135.05481120584653</v>
      </c>
      <c r="F17" s="105">
        <v>0</v>
      </c>
      <c r="G17" s="105">
        <v>0</v>
      </c>
      <c r="H17" s="105">
        <v>0</v>
      </c>
      <c r="I17" s="105">
        <v>0</v>
      </c>
      <c r="J17" s="105">
        <v>0</v>
      </c>
      <c r="K17" s="105">
        <v>0</v>
      </c>
      <c r="L17" s="105">
        <v>0</v>
      </c>
      <c r="M17" s="105">
        <v>0</v>
      </c>
      <c r="N17" s="105">
        <v>0</v>
      </c>
      <c r="O17" s="105">
        <v>0</v>
      </c>
      <c r="P17" s="105">
        <v>0</v>
      </c>
      <c r="Q17" s="105">
        <v>0</v>
      </c>
      <c r="R17" s="105">
        <v>0</v>
      </c>
      <c r="S17" s="105">
        <v>0</v>
      </c>
      <c r="T17" s="105">
        <v>0</v>
      </c>
      <c r="U17" s="105">
        <v>0</v>
      </c>
      <c r="V17" s="105">
        <v>0</v>
      </c>
      <c r="W17" s="105">
        <v>0</v>
      </c>
      <c r="X17" s="105">
        <v>0</v>
      </c>
      <c r="Y17" s="105">
        <v>0</v>
      </c>
      <c r="Z17" s="105">
        <v>0</v>
      </c>
      <c r="AA17" s="105">
        <v>0</v>
      </c>
    </row>
    <row r="18" spans="2:27" x14ac:dyDescent="0.2">
      <c r="C18" s="105" t="s">
        <v>775</v>
      </c>
      <c r="D18" s="105">
        <v>10.199999999999999</v>
      </c>
      <c r="E18" s="105" t="s">
        <v>328</v>
      </c>
      <c r="F18" s="105" t="s">
        <v>329</v>
      </c>
      <c r="G18" s="105" t="s">
        <v>256</v>
      </c>
      <c r="H18" s="105" t="s">
        <v>330</v>
      </c>
      <c r="I18" s="105" t="s">
        <v>331</v>
      </c>
      <c r="J18" s="105" t="s">
        <v>332</v>
      </c>
      <c r="K18" s="105" t="s">
        <v>213</v>
      </c>
      <c r="L18" s="105" t="s">
        <v>76</v>
      </c>
      <c r="M18" s="105" t="s">
        <v>107</v>
      </c>
      <c r="N18" s="105" t="s">
        <v>111</v>
      </c>
      <c r="O18" s="105" t="s">
        <v>145</v>
      </c>
      <c r="P18" s="105" t="s">
        <v>207</v>
      </c>
      <c r="Q18" s="105" t="s">
        <v>115</v>
      </c>
      <c r="R18" s="105" t="s">
        <v>168</v>
      </c>
      <c r="S18" s="105" t="s">
        <v>127</v>
      </c>
      <c r="T18" s="105" t="s">
        <v>131</v>
      </c>
      <c r="U18" s="105" t="s">
        <v>333</v>
      </c>
      <c r="V18" s="105" t="s">
        <v>228</v>
      </c>
      <c r="W18" s="105" t="s">
        <v>253</v>
      </c>
      <c r="X18" s="105" t="s">
        <v>80</v>
      </c>
      <c r="Y18" s="105" t="s">
        <v>334</v>
      </c>
      <c r="Z18" s="105" t="s">
        <v>335</v>
      </c>
      <c r="AA18" s="105" t="s">
        <v>173</v>
      </c>
    </row>
    <row r="19" spans="2:27" x14ac:dyDescent="0.2">
      <c r="C19" s="105" t="s">
        <v>776</v>
      </c>
      <c r="D19" s="105">
        <v>10.199999999999999</v>
      </c>
      <c r="E19" s="105" t="s">
        <v>328</v>
      </c>
      <c r="F19" s="105" t="s">
        <v>329</v>
      </c>
      <c r="G19" s="105" t="s">
        <v>256</v>
      </c>
      <c r="H19" s="105" t="s">
        <v>330</v>
      </c>
      <c r="I19" s="105" t="s">
        <v>331</v>
      </c>
      <c r="J19" s="105" t="s">
        <v>332</v>
      </c>
      <c r="K19" s="105" t="s">
        <v>213</v>
      </c>
      <c r="L19" s="105" t="s">
        <v>76</v>
      </c>
      <c r="M19" s="105" t="s">
        <v>107</v>
      </c>
      <c r="N19" s="105" t="s">
        <v>111</v>
      </c>
      <c r="O19" s="105" t="s">
        <v>145</v>
      </c>
      <c r="P19" s="105" t="s">
        <v>207</v>
      </c>
      <c r="Q19" s="105" t="s">
        <v>115</v>
      </c>
      <c r="R19" s="105" t="s">
        <v>168</v>
      </c>
      <c r="S19" s="105" t="s">
        <v>127</v>
      </c>
      <c r="T19" s="105" t="s">
        <v>131</v>
      </c>
      <c r="U19" s="105" t="s">
        <v>333</v>
      </c>
      <c r="V19" s="105" t="s">
        <v>228</v>
      </c>
      <c r="W19" s="105" t="s">
        <v>253</v>
      </c>
      <c r="X19" s="105" t="s">
        <v>80</v>
      </c>
      <c r="Y19" s="105" t="s">
        <v>334</v>
      </c>
      <c r="Z19" s="105" t="s">
        <v>335</v>
      </c>
      <c r="AA19" s="105" t="s">
        <v>173</v>
      </c>
    </row>
    <row r="20" spans="2:27" x14ac:dyDescent="0.2">
      <c r="D20" s="105" t="s">
        <v>47</v>
      </c>
      <c r="E20" s="105" t="s">
        <v>48</v>
      </c>
      <c r="F20" s="105" t="s">
        <v>49</v>
      </c>
      <c r="G20" s="105" t="s">
        <v>50</v>
      </c>
      <c r="H20" s="105" t="s">
        <v>51</v>
      </c>
      <c r="I20" s="105" t="s">
        <v>52</v>
      </c>
      <c r="J20" s="105" t="s">
        <v>53</v>
      </c>
      <c r="K20" s="105">
        <v>0.01</v>
      </c>
      <c r="L20" s="105">
        <v>0.05</v>
      </c>
      <c r="M20" s="105">
        <v>0.1</v>
      </c>
      <c r="N20" s="105">
        <v>0.2</v>
      </c>
      <c r="O20" s="105">
        <v>0.3</v>
      </c>
      <c r="P20" s="105">
        <v>0.4</v>
      </c>
      <c r="Q20" s="105">
        <v>0.5</v>
      </c>
      <c r="R20" s="105">
        <v>0.6</v>
      </c>
      <c r="S20" s="105">
        <v>0.7</v>
      </c>
      <c r="T20" s="105">
        <v>0.8</v>
      </c>
      <c r="U20" s="105">
        <v>0.9</v>
      </c>
      <c r="V20" s="105">
        <v>0.95</v>
      </c>
      <c r="W20" s="105">
        <v>0.99</v>
      </c>
      <c r="X20" s="105">
        <v>0.995</v>
      </c>
      <c r="Y20" s="105">
        <v>0.999</v>
      </c>
      <c r="Z20" s="105">
        <v>0.99950000000000006</v>
      </c>
      <c r="AA20" s="105">
        <v>0.99990000000000001</v>
      </c>
    </row>
    <row r="21" spans="2:27" x14ac:dyDescent="0.2">
      <c r="B21" s="105" t="s">
        <v>779</v>
      </c>
      <c r="C21" s="105" t="s">
        <v>772</v>
      </c>
      <c r="D21" s="105">
        <v>2690</v>
      </c>
      <c r="E21" s="105">
        <v>84.1</v>
      </c>
    </row>
    <row r="22" spans="2:27" x14ac:dyDescent="0.2">
      <c r="C22" s="105" t="s">
        <v>773</v>
      </c>
      <c r="D22" s="105">
        <v>11300</v>
      </c>
      <c r="E22" s="105">
        <v>352</v>
      </c>
    </row>
    <row r="23" spans="2:27" x14ac:dyDescent="0.2">
      <c r="C23" s="105" t="s">
        <v>774</v>
      </c>
      <c r="D23" s="105">
        <v>5634.2378048780492</v>
      </c>
      <c r="E23" s="105">
        <v>176.19001218026796</v>
      </c>
      <c r="F23" s="105">
        <v>0</v>
      </c>
      <c r="G23" s="105">
        <v>0</v>
      </c>
      <c r="H23" s="105">
        <v>0</v>
      </c>
      <c r="I23" s="105">
        <v>0</v>
      </c>
      <c r="J23" s="105">
        <v>0</v>
      </c>
      <c r="K23" s="105">
        <v>0</v>
      </c>
      <c r="L23" s="105">
        <v>0</v>
      </c>
      <c r="M23" s="105">
        <v>0</v>
      </c>
      <c r="N23" s="105">
        <v>0</v>
      </c>
      <c r="O23" s="105">
        <v>0</v>
      </c>
      <c r="P23" s="105">
        <v>0</v>
      </c>
      <c r="Q23" s="105">
        <v>0</v>
      </c>
      <c r="R23" s="105">
        <v>0</v>
      </c>
      <c r="S23" s="105">
        <v>0</v>
      </c>
      <c r="T23" s="105">
        <v>0</v>
      </c>
      <c r="U23" s="105">
        <v>0</v>
      </c>
      <c r="V23" s="105">
        <v>0</v>
      </c>
      <c r="W23" s="105">
        <v>0</v>
      </c>
      <c r="X23" s="105">
        <v>0</v>
      </c>
      <c r="Y23" s="105">
        <v>0</v>
      </c>
      <c r="Z23" s="105">
        <v>0</v>
      </c>
      <c r="AA23" s="105">
        <v>0</v>
      </c>
    </row>
    <row r="24" spans="2:27" x14ac:dyDescent="0.2">
      <c r="C24" s="105" t="s">
        <v>775</v>
      </c>
      <c r="D24" s="105">
        <v>10.4</v>
      </c>
      <c r="E24" s="105" t="s">
        <v>347</v>
      </c>
      <c r="F24" s="105" t="s">
        <v>348</v>
      </c>
      <c r="G24" s="105" t="s">
        <v>256</v>
      </c>
      <c r="H24" s="105" t="s">
        <v>349</v>
      </c>
      <c r="I24" s="105" t="s">
        <v>350</v>
      </c>
      <c r="J24" s="105" t="s">
        <v>351</v>
      </c>
      <c r="K24" s="105" t="s">
        <v>213</v>
      </c>
      <c r="L24" s="105" t="s">
        <v>193</v>
      </c>
      <c r="M24" s="105" t="s">
        <v>107</v>
      </c>
      <c r="N24" s="105" t="s">
        <v>110</v>
      </c>
      <c r="O24" s="105" t="s">
        <v>113</v>
      </c>
      <c r="P24" s="105" t="s">
        <v>194</v>
      </c>
      <c r="Q24" s="105" t="s">
        <v>207</v>
      </c>
      <c r="R24" s="105" t="s">
        <v>115</v>
      </c>
      <c r="S24" s="105" t="s">
        <v>150</v>
      </c>
      <c r="T24" s="105" t="s">
        <v>258</v>
      </c>
      <c r="U24" s="105" t="s">
        <v>342</v>
      </c>
      <c r="V24" s="105" t="s">
        <v>263</v>
      </c>
      <c r="W24" s="105" t="s">
        <v>352</v>
      </c>
      <c r="X24" s="105" t="s">
        <v>80</v>
      </c>
      <c r="Y24" s="105" t="s">
        <v>353</v>
      </c>
      <c r="Z24" s="105" t="s">
        <v>154</v>
      </c>
      <c r="AA24" s="105" t="s">
        <v>354</v>
      </c>
    </row>
    <row r="25" spans="2:27" x14ac:dyDescent="0.2">
      <c r="C25" s="105" t="s">
        <v>776</v>
      </c>
      <c r="D25" s="105">
        <v>10.4</v>
      </c>
      <c r="E25" s="105" t="s">
        <v>347</v>
      </c>
      <c r="F25" s="105" t="s">
        <v>348</v>
      </c>
      <c r="G25" s="105" t="s">
        <v>256</v>
      </c>
      <c r="H25" s="105" t="s">
        <v>349</v>
      </c>
      <c r="I25" s="105" t="s">
        <v>350</v>
      </c>
      <c r="J25" s="105" t="s">
        <v>351</v>
      </c>
      <c r="K25" s="105" t="s">
        <v>213</v>
      </c>
      <c r="L25" s="105" t="s">
        <v>193</v>
      </c>
      <c r="M25" s="105" t="s">
        <v>107</v>
      </c>
      <c r="N25" s="105" t="s">
        <v>110</v>
      </c>
      <c r="O25" s="105" t="s">
        <v>113</v>
      </c>
      <c r="P25" s="105" t="s">
        <v>194</v>
      </c>
      <c r="Q25" s="105" t="s">
        <v>207</v>
      </c>
      <c r="R25" s="105" t="s">
        <v>115</v>
      </c>
      <c r="S25" s="105" t="s">
        <v>150</v>
      </c>
      <c r="T25" s="105" t="s">
        <v>258</v>
      </c>
      <c r="U25" s="105" t="s">
        <v>342</v>
      </c>
      <c r="V25" s="105" t="s">
        <v>263</v>
      </c>
      <c r="W25" s="105" t="s">
        <v>352</v>
      </c>
      <c r="X25" s="105" t="s">
        <v>80</v>
      </c>
      <c r="Y25" s="105" t="s">
        <v>353</v>
      </c>
      <c r="Z25" s="105" t="s">
        <v>154</v>
      </c>
      <c r="AA25" s="105" t="s">
        <v>354</v>
      </c>
    </row>
    <row r="26" spans="2:27" x14ac:dyDescent="0.2">
      <c r="D26" s="105">
        <v>0.61146496815286622</v>
      </c>
      <c r="E26" s="105">
        <v>0.61195928753180673</v>
      </c>
      <c r="F26" s="105">
        <v>0.61286407766990292</v>
      </c>
      <c r="G26" s="105">
        <v>2.9327731092436973</v>
      </c>
      <c r="H26" s="105">
        <v>1.9996736292428199</v>
      </c>
      <c r="I26" s="105">
        <v>1.6349197835654903</v>
      </c>
      <c r="J26" s="105">
        <v>1.5769204225658118</v>
      </c>
      <c r="K26" s="105">
        <v>2.8489208633093526</v>
      </c>
      <c r="L26" s="105">
        <v>2.8811188811188813</v>
      </c>
      <c r="M26" s="105">
        <v>2.965034965034965</v>
      </c>
      <c r="N26" s="105">
        <v>2.9862068965517241</v>
      </c>
      <c r="O26" s="105">
        <v>3.0272108843537415</v>
      </c>
      <c r="P26" s="105">
        <v>3.052980132450331</v>
      </c>
      <c r="Q26" s="105">
        <v>2.9872611464968153</v>
      </c>
      <c r="R26" s="105">
        <v>2.9440993788819876</v>
      </c>
      <c r="S26" s="105">
        <v>2.896969696969697</v>
      </c>
      <c r="T26" s="105">
        <v>2.7931034482758621</v>
      </c>
      <c r="U26" s="105">
        <v>2.7606382978723403</v>
      </c>
      <c r="V26" s="105">
        <v>1.4866485791803512</v>
      </c>
      <c r="W26" s="105">
        <v>1.6363803267987189</v>
      </c>
      <c r="X26" s="105">
        <v>2</v>
      </c>
      <c r="Y26" s="105">
        <v>2</v>
      </c>
      <c r="Z26" s="105">
        <v>2</v>
      </c>
      <c r="AA26" s="105">
        <v>2</v>
      </c>
    </row>
    <row r="27" spans="2:27" x14ac:dyDescent="0.2">
      <c r="D27" s="105">
        <v>1.1554878048780488</v>
      </c>
      <c r="E27" s="105">
        <v>1.1546894031668697</v>
      </c>
      <c r="F27" s="105">
        <v>1.1544715447154472</v>
      </c>
      <c r="G27" s="105">
        <v>3.1825396825396823</v>
      </c>
      <c r="H27" s="105">
        <v>1.1580108329220946</v>
      </c>
      <c r="I27" s="105">
        <v>0.93601476262007532</v>
      </c>
      <c r="J27" s="105">
        <v>0.30306945548744518</v>
      </c>
      <c r="K27" s="105">
        <v>3.3664122137404582</v>
      </c>
      <c r="L27" s="105">
        <v>3.5939849624060152</v>
      </c>
      <c r="M27" s="105">
        <v>3.6592592592592594</v>
      </c>
      <c r="N27" s="105">
        <v>4.6330935251798557</v>
      </c>
      <c r="O27" s="105">
        <v>86.921985815602838</v>
      </c>
      <c r="P27" s="105">
        <v>85.427586206896549</v>
      </c>
      <c r="Q27" s="105">
        <v>84.265306122448976</v>
      </c>
      <c r="R27" s="105">
        <v>80.960784313725483</v>
      </c>
      <c r="S27" s="105">
        <v>76.937888198757761</v>
      </c>
      <c r="T27" s="105">
        <v>71.189655172413794</v>
      </c>
      <c r="U27" s="105">
        <v>0.53278859382165344</v>
      </c>
      <c r="V27" s="105">
        <v>0.12134350576851508</v>
      </c>
      <c r="W27" s="105">
        <v>0.50000343046112261</v>
      </c>
      <c r="X27" s="105">
        <v>0.48620793980689803</v>
      </c>
      <c r="Y27" s="105">
        <v>0.65436705538985396</v>
      </c>
      <c r="Z27" s="105">
        <v>0.70134666342375096</v>
      </c>
      <c r="AA27" s="105">
        <v>0.96273567861818143</v>
      </c>
    </row>
    <row r="28" spans="2:27" x14ac:dyDescent="0.2">
      <c r="D28" s="105">
        <v>1.6067073170731707</v>
      </c>
      <c r="E28" s="105">
        <v>1.607795371498173</v>
      </c>
      <c r="F28" s="105">
        <v>1.6027874564459932</v>
      </c>
      <c r="G28" s="105">
        <v>2.9920634920634921</v>
      </c>
      <c r="H28" s="105">
        <v>1.2019311378135573</v>
      </c>
      <c r="I28" s="105">
        <v>0.60759626624508445</v>
      </c>
      <c r="J28" s="105">
        <v>0.64248715838266734</v>
      </c>
      <c r="K28" s="105">
        <v>3.114503816793893</v>
      </c>
      <c r="L28" s="105">
        <v>3.255639097744361</v>
      </c>
      <c r="M28" s="105">
        <v>3.2962962962962963</v>
      </c>
      <c r="N28" s="105">
        <v>3.3741007194244603</v>
      </c>
      <c r="O28" s="105">
        <v>3.4468085106382977</v>
      </c>
      <c r="P28" s="105">
        <v>3.4344827586206899</v>
      </c>
      <c r="Q28" s="105">
        <v>3.4693877551020407</v>
      </c>
      <c r="R28" s="105">
        <v>3.4575163398692812</v>
      </c>
      <c r="S28" s="105">
        <v>3.639751552795031</v>
      </c>
      <c r="T28" s="105">
        <v>5.2068965517241379</v>
      </c>
      <c r="U28" s="105">
        <v>0.51094342768999879</v>
      </c>
      <c r="V28" s="105">
        <v>0.67805173055452173</v>
      </c>
      <c r="W28" s="105">
        <v>0.70144010757926079</v>
      </c>
      <c r="X28" s="105">
        <v>0.91724106179790066</v>
      </c>
      <c r="Y28" s="105">
        <v>1.026850062084768</v>
      </c>
      <c r="Z28" s="105">
        <v>1.0402718928813732</v>
      </c>
      <c r="AA28" s="105">
        <v>1.0124214404606062</v>
      </c>
    </row>
    <row r="29" spans="2:27" x14ac:dyDescent="0.2">
      <c r="D29" s="105">
        <v>2.0945121951219514</v>
      </c>
      <c r="E29" s="105">
        <v>2.0950060901339831</v>
      </c>
      <c r="F29" s="105">
        <v>2.0905923344947737</v>
      </c>
      <c r="G29" s="105">
        <v>2.7619047619047619</v>
      </c>
      <c r="H29" s="105">
        <v>1.0944580863423132</v>
      </c>
      <c r="I29" s="105">
        <v>0.52267588787145358</v>
      </c>
      <c r="J29" s="105">
        <v>0.52852086485931937</v>
      </c>
      <c r="K29" s="105">
        <v>3.1450381679389312</v>
      </c>
      <c r="L29" s="105">
        <v>3.225563909774436</v>
      </c>
      <c r="M29" s="105">
        <v>3.2962962962962963</v>
      </c>
      <c r="N29" s="105">
        <v>3.4388489208633093</v>
      </c>
      <c r="O29" s="105">
        <v>3.4751773049645389</v>
      </c>
      <c r="P29" s="105">
        <v>3.5172413793103448</v>
      </c>
      <c r="Q29" s="105">
        <v>3.5986394557823131</v>
      </c>
      <c r="R29" s="105">
        <v>5.2222222222222223</v>
      </c>
      <c r="S29" s="105">
        <v>5.4223602484472053</v>
      </c>
      <c r="T29" s="105">
        <v>5.3908045977011492</v>
      </c>
      <c r="U29" s="105">
        <v>0.51094342768999879</v>
      </c>
      <c r="V29" s="105">
        <v>0.67805173055452173</v>
      </c>
      <c r="W29" s="105">
        <v>0.50719367697405882</v>
      </c>
      <c r="X29" s="105">
        <v>0.64482649759280208</v>
      </c>
      <c r="Y29" s="105">
        <v>0.62751699330508581</v>
      </c>
      <c r="Z29" s="105">
        <v>0.64765293974577243</v>
      </c>
      <c r="AA29" s="105">
        <v>1.0869560066579396</v>
      </c>
    </row>
    <row r="31" spans="2:27" x14ac:dyDescent="0.2">
      <c r="D31" s="105" t="s">
        <v>780</v>
      </c>
      <c r="E31" s="105" t="s">
        <v>48</v>
      </c>
      <c r="F31" s="105" t="s">
        <v>49</v>
      </c>
      <c r="G31" s="105" t="s">
        <v>50</v>
      </c>
      <c r="H31" s="105" t="s">
        <v>51</v>
      </c>
      <c r="I31" s="105" t="s">
        <v>52</v>
      </c>
      <c r="J31" s="105" t="s">
        <v>53</v>
      </c>
      <c r="K31" s="105">
        <v>0.01</v>
      </c>
      <c r="L31" s="105">
        <v>0.05</v>
      </c>
      <c r="M31" s="105">
        <v>0.1</v>
      </c>
      <c r="N31" s="105">
        <v>0.2</v>
      </c>
      <c r="O31" s="105">
        <v>0.3</v>
      </c>
      <c r="P31" s="105">
        <v>0.4</v>
      </c>
      <c r="Q31" s="105">
        <v>0.5</v>
      </c>
      <c r="R31" s="105">
        <v>0.6</v>
      </c>
      <c r="S31" s="105">
        <v>0.7</v>
      </c>
      <c r="T31" s="105">
        <v>0.8</v>
      </c>
      <c r="U31" s="105">
        <v>0.9</v>
      </c>
      <c r="V31" s="105">
        <v>0.95</v>
      </c>
      <c r="W31" s="105">
        <v>0.99</v>
      </c>
      <c r="X31" s="105">
        <v>0.995</v>
      </c>
      <c r="Y31" s="105">
        <v>0.999</v>
      </c>
      <c r="Z31" s="105">
        <v>0.99950000000000006</v>
      </c>
      <c r="AA31" s="105">
        <v>0.99990000000000001</v>
      </c>
    </row>
    <row r="32" spans="2:27" x14ac:dyDescent="0.2">
      <c r="B32" s="105" t="s">
        <v>781</v>
      </c>
      <c r="C32" s="105" t="s">
        <v>772</v>
      </c>
      <c r="D32" s="105">
        <v>28.2</v>
      </c>
      <c r="E32" s="105">
        <v>883</v>
      </c>
      <c r="F32" s="105">
        <v>926</v>
      </c>
      <c r="G32" s="105" t="s">
        <v>82</v>
      </c>
      <c r="H32" s="105" t="s">
        <v>83</v>
      </c>
      <c r="I32" s="105" t="s">
        <v>84</v>
      </c>
      <c r="J32" s="105" t="s">
        <v>85</v>
      </c>
      <c r="K32" s="105" t="s">
        <v>68</v>
      </c>
      <c r="L32" s="105" t="s">
        <v>86</v>
      </c>
      <c r="M32" s="105" t="s">
        <v>86</v>
      </c>
      <c r="N32" s="105" t="s">
        <v>87</v>
      </c>
      <c r="O32" s="105" t="s">
        <v>87</v>
      </c>
      <c r="P32" s="105" t="s">
        <v>88</v>
      </c>
      <c r="Q32" s="105" t="s">
        <v>89</v>
      </c>
      <c r="R32" s="105" t="s">
        <v>242</v>
      </c>
      <c r="S32" s="105" t="s">
        <v>243</v>
      </c>
      <c r="T32" s="105" t="s">
        <v>252</v>
      </c>
      <c r="U32" s="105" t="s">
        <v>254</v>
      </c>
      <c r="V32" s="105" t="s">
        <v>75</v>
      </c>
      <c r="W32" s="105" t="s">
        <v>108</v>
      </c>
      <c r="X32" s="105" t="s">
        <v>111</v>
      </c>
      <c r="Y32" s="105" t="s">
        <v>168</v>
      </c>
      <c r="Z32" s="105" t="s">
        <v>227</v>
      </c>
      <c r="AA32" s="105" t="s">
        <v>425</v>
      </c>
    </row>
    <row r="33" spans="2:27" x14ac:dyDescent="0.2">
      <c r="C33" s="105" t="s">
        <v>773</v>
      </c>
      <c r="D33" s="105">
        <v>36.276761041902603</v>
      </c>
      <c r="E33" s="105">
        <v>1135.9000000000001</v>
      </c>
      <c r="K33" s="105">
        <v>21.611937670569592</v>
      </c>
      <c r="L33" s="105">
        <v>21.611937670569592</v>
      </c>
      <c r="M33" s="105">
        <v>22.641077559644334</v>
      </c>
      <c r="N33" s="105">
        <v>22.641077559644334</v>
      </c>
      <c r="O33" s="105">
        <v>23.670217448719075</v>
      </c>
      <c r="P33" s="105">
        <v>23.670217448719075</v>
      </c>
      <c r="Q33" s="105">
        <v>24.699357337793817</v>
      </c>
      <c r="R33" s="105">
        <v>26.757637115943304</v>
      </c>
      <c r="S33" s="105">
        <v>29.845056783167529</v>
      </c>
      <c r="T33" s="105">
        <v>30.874196672242274</v>
      </c>
      <c r="U33" s="105">
        <v>31.903336561317015</v>
      </c>
      <c r="V33" s="105">
        <v>38.078175895765469</v>
      </c>
      <c r="W33" s="105">
        <v>47.340434897438151</v>
      </c>
      <c r="X33" s="105">
        <v>54.544414120961349</v>
      </c>
      <c r="Y33" s="105">
        <v>64.835813011708765</v>
      </c>
      <c r="Z33" s="105">
        <v>73.068932124306713</v>
      </c>
      <c r="AA33" s="105">
        <v>167.749801919183</v>
      </c>
    </row>
    <row r="34" spans="2:27" x14ac:dyDescent="0.2">
      <c r="C34" s="105" t="s">
        <v>774</v>
      </c>
      <c r="D34" s="105">
        <v>18</v>
      </c>
      <c r="E34" s="105">
        <v>562.9</v>
      </c>
      <c r="K34" s="105">
        <v>45.490196078419999</v>
      </c>
      <c r="L34" s="105">
        <v>47.058823529400001</v>
      </c>
      <c r="M34" s="105">
        <v>47.058823529400001</v>
      </c>
      <c r="N34" s="105">
        <v>48.627450980379997</v>
      </c>
      <c r="O34" s="105">
        <v>48.627450980379997</v>
      </c>
      <c r="P34" s="105">
        <v>50.19607843136</v>
      </c>
      <c r="Q34" s="105">
        <v>51.764705882340003</v>
      </c>
      <c r="R34" s="105">
        <v>53.333333333319999</v>
      </c>
      <c r="S34" s="105">
        <v>54.901960784300002</v>
      </c>
      <c r="T34" s="105">
        <v>56.470588235279997</v>
      </c>
      <c r="U34" s="105">
        <v>59.607843137240003</v>
      </c>
      <c r="V34" s="105">
        <v>73.725490196059994</v>
      </c>
      <c r="W34" s="105">
        <v>95.686274509780006</v>
      </c>
      <c r="X34" s="105">
        <v>196</v>
      </c>
      <c r="Y34" s="105">
        <v>248</v>
      </c>
      <c r="Z34" s="105">
        <v>299</v>
      </c>
      <c r="AA34" s="105">
        <v>507</v>
      </c>
    </row>
    <row r="35" spans="2:27" x14ac:dyDescent="0.2">
      <c r="C35" s="105" t="s">
        <v>775</v>
      </c>
      <c r="D35" s="105">
        <v>28.449489000000003</v>
      </c>
      <c r="E35" s="105">
        <v>889.55894999999998</v>
      </c>
      <c r="K35" s="105" t="s">
        <v>68</v>
      </c>
      <c r="L35" s="105" t="s">
        <v>86</v>
      </c>
      <c r="M35" s="105" t="s">
        <v>86</v>
      </c>
      <c r="N35" s="105" t="s">
        <v>87</v>
      </c>
      <c r="O35" s="105" t="s">
        <v>87</v>
      </c>
      <c r="P35" s="105" t="s">
        <v>88</v>
      </c>
      <c r="Q35" s="105" t="s">
        <v>89</v>
      </c>
      <c r="R35" s="105" t="s">
        <v>242</v>
      </c>
      <c r="S35" s="105" t="s">
        <v>243</v>
      </c>
      <c r="T35" s="105" t="s">
        <v>252</v>
      </c>
      <c r="U35" s="105" t="s">
        <v>254</v>
      </c>
      <c r="V35" s="105" t="s">
        <v>75</v>
      </c>
      <c r="W35" s="105" t="s">
        <v>108</v>
      </c>
      <c r="X35" s="105" t="s">
        <v>111</v>
      </c>
      <c r="Y35" s="105" t="s">
        <v>168</v>
      </c>
      <c r="Z35" s="105" t="s">
        <v>227</v>
      </c>
      <c r="AA35" s="105" t="s">
        <v>425</v>
      </c>
    </row>
    <row r="36" spans="2:27" x14ac:dyDescent="0.2">
      <c r="C36" s="105" t="s">
        <v>776</v>
      </c>
      <c r="D36" s="105">
        <v>34.700000000000003</v>
      </c>
      <c r="E36" s="105" t="s">
        <v>396</v>
      </c>
      <c r="F36" s="105" t="s">
        <v>397</v>
      </c>
      <c r="G36" s="105" t="s">
        <v>265</v>
      </c>
      <c r="H36" s="105" t="s">
        <v>398</v>
      </c>
      <c r="I36" s="105" t="s">
        <v>399</v>
      </c>
      <c r="J36" s="105" t="s">
        <v>400</v>
      </c>
      <c r="K36" s="105" t="s">
        <v>94</v>
      </c>
      <c r="L36" s="105" t="s">
        <v>94</v>
      </c>
      <c r="M36" s="105" t="s">
        <v>251</v>
      </c>
      <c r="N36" s="105" t="s">
        <v>96</v>
      </c>
      <c r="O36" s="105" t="s">
        <v>96</v>
      </c>
      <c r="P36" s="105" t="s">
        <v>97</v>
      </c>
      <c r="Q36" s="105" t="s">
        <v>97</v>
      </c>
      <c r="R36" s="105" t="s">
        <v>98</v>
      </c>
      <c r="S36" s="105" t="s">
        <v>68</v>
      </c>
      <c r="T36" s="105" t="s">
        <v>86</v>
      </c>
      <c r="U36" s="105" t="s">
        <v>89</v>
      </c>
      <c r="V36" s="105" t="s">
        <v>244</v>
      </c>
      <c r="W36" s="105" t="s">
        <v>128</v>
      </c>
      <c r="X36" s="105" t="s">
        <v>368</v>
      </c>
      <c r="Y36" s="105" t="s">
        <v>401</v>
      </c>
      <c r="Z36" s="105" t="s">
        <v>402</v>
      </c>
      <c r="AA36" s="105" t="s">
        <v>403</v>
      </c>
    </row>
    <row r="38" spans="2:27" x14ac:dyDescent="0.2">
      <c r="D38" s="105" t="s">
        <v>780</v>
      </c>
      <c r="E38" s="105" t="s">
        <v>48</v>
      </c>
      <c r="F38" s="105" t="s">
        <v>49</v>
      </c>
      <c r="G38" s="105" t="s">
        <v>50</v>
      </c>
      <c r="H38" s="105" t="s">
        <v>51</v>
      </c>
      <c r="I38" s="105" t="s">
        <v>52</v>
      </c>
      <c r="J38" s="105" t="s">
        <v>53</v>
      </c>
      <c r="K38" s="105">
        <v>0.01</v>
      </c>
      <c r="L38" s="105">
        <v>0.05</v>
      </c>
      <c r="M38" s="105">
        <v>0.1</v>
      </c>
      <c r="N38" s="105">
        <v>0.2</v>
      </c>
      <c r="O38" s="105">
        <v>0.3</v>
      </c>
      <c r="P38" s="105">
        <v>0.4</v>
      </c>
      <c r="Q38" s="105">
        <v>0.5</v>
      </c>
      <c r="R38" s="105">
        <v>0.6</v>
      </c>
      <c r="S38" s="105">
        <v>0.7</v>
      </c>
      <c r="T38" s="105">
        <v>0.8</v>
      </c>
      <c r="U38" s="105">
        <v>0.9</v>
      </c>
      <c r="V38" s="105">
        <v>0.95</v>
      </c>
      <c r="W38" s="105">
        <v>0.99</v>
      </c>
      <c r="X38" s="105">
        <v>0.995</v>
      </c>
      <c r="Y38" s="105">
        <v>0.999</v>
      </c>
      <c r="Z38" s="105">
        <v>0.99950000000000006</v>
      </c>
      <c r="AA38" s="105">
        <v>0.99990000000000001</v>
      </c>
    </row>
    <row r="39" spans="2:27" x14ac:dyDescent="0.2">
      <c r="B39" s="105" t="s">
        <v>782</v>
      </c>
      <c r="C39" s="105" t="s">
        <v>772</v>
      </c>
      <c r="D39" s="105">
        <v>37.4</v>
      </c>
      <c r="E39" s="105" t="s">
        <v>598</v>
      </c>
      <c r="F39" s="105" t="s">
        <v>599</v>
      </c>
      <c r="G39" s="105" t="s">
        <v>452</v>
      </c>
      <c r="H39" s="105" t="s">
        <v>600</v>
      </c>
      <c r="I39" s="105" t="s">
        <v>601</v>
      </c>
      <c r="K39" s="105" t="s">
        <v>95</v>
      </c>
      <c r="L39" s="105" t="s">
        <v>95</v>
      </c>
      <c r="M39" s="105" t="s">
        <v>251</v>
      </c>
      <c r="N39" s="105" t="s">
        <v>251</v>
      </c>
      <c r="O39" s="105" t="s">
        <v>96</v>
      </c>
      <c r="P39" s="105" t="s">
        <v>96</v>
      </c>
      <c r="Q39" s="105" t="s">
        <v>97</v>
      </c>
      <c r="R39" s="105" t="s">
        <v>82</v>
      </c>
      <c r="S39" s="105" t="s">
        <v>68</v>
      </c>
      <c r="T39" s="105" t="s">
        <v>86</v>
      </c>
      <c r="U39" s="105" t="s">
        <v>87</v>
      </c>
      <c r="V39" s="105" t="s">
        <v>244</v>
      </c>
      <c r="W39" s="105" t="s">
        <v>74</v>
      </c>
      <c r="X39" s="105" t="s">
        <v>233</v>
      </c>
      <c r="Y39" s="105" t="s">
        <v>110</v>
      </c>
      <c r="Z39" s="105" t="s">
        <v>207</v>
      </c>
      <c r="AA39" s="105" t="s">
        <v>425</v>
      </c>
    </row>
    <row r="40" spans="2:27" x14ac:dyDescent="0.2">
      <c r="C40" s="105" t="s">
        <v>773</v>
      </c>
      <c r="D40" s="105">
        <v>50.293242087254058</v>
      </c>
      <c r="E40" s="105">
        <v>1572</v>
      </c>
    </row>
    <row r="41" spans="2:27" x14ac:dyDescent="0.2">
      <c r="C41" s="105" t="s">
        <v>774</v>
      </c>
      <c r="D41" s="105">
        <v>26.522326775021384</v>
      </c>
      <c r="E41" s="105">
        <v>829</v>
      </c>
    </row>
    <row r="42" spans="2:27" x14ac:dyDescent="0.2">
      <c r="C42" s="105" t="s">
        <v>775</v>
      </c>
      <c r="D42" s="105">
        <v>37.877994000000001</v>
      </c>
      <c r="E42" s="105">
        <v>1183.07241</v>
      </c>
    </row>
    <row r="43" spans="2:27" x14ac:dyDescent="0.2">
      <c r="C43" s="105" t="s">
        <v>776</v>
      </c>
      <c r="D43" s="105">
        <v>46.2</v>
      </c>
      <c r="E43" s="105" t="s">
        <v>404</v>
      </c>
      <c r="F43" s="105" t="s">
        <v>405</v>
      </c>
      <c r="G43" s="105" t="s">
        <v>93</v>
      </c>
      <c r="H43" s="105" t="s">
        <v>406</v>
      </c>
      <c r="I43" s="105" t="s">
        <v>407</v>
      </c>
      <c r="J43" s="105" t="s">
        <v>408</v>
      </c>
      <c r="K43" s="105" t="s">
        <v>251</v>
      </c>
      <c r="L43" s="105" t="s">
        <v>98</v>
      </c>
      <c r="M43" s="105" t="s">
        <v>241</v>
      </c>
      <c r="N43" s="105" t="s">
        <v>68</v>
      </c>
      <c r="O43" s="105" t="s">
        <v>88</v>
      </c>
      <c r="P43" s="105" t="s">
        <v>243</v>
      </c>
      <c r="Q43" s="105" t="s">
        <v>69</v>
      </c>
      <c r="R43" s="105" t="s">
        <v>70</v>
      </c>
      <c r="S43" s="105" t="s">
        <v>71</v>
      </c>
      <c r="T43" s="105" t="s">
        <v>72</v>
      </c>
      <c r="U43" s="105" t="s">
        <v>75</v>
      </c>
      <c r="V43" s="105" t="s">
        <v>213</v>
      </c>
      <c r="W43" s="105" t="s">
        <v>409</v>
      </c>
      <c r="X43" s="105" t="s">
        <v>133</v>
      </c>
      <c r="Y43" s="105" t="s">
        <v>410</v>
      </c>
      <c r="Z43" s="105" t="s">
        <v>197</v>
      </c>
      <c r="AA43" s="105" t="s">
        <v>411</v>
      </c>
    </row>
    <row r="44" spans="2:27" x14ac:dyDescent="0.2">
      <c r="D44" s="105" t="s">
        <v>780</v>
      </c>
      <c r="E44" s="105" t="s">
        <v>48</v>
      </c>
      <c r="F44" s="105" t="s">
        <v>49</v>
      </c>
      <c r="G44" s="105" t="s">
        <v>50</v>
      </c>
      <c r="H44" s="105" t="s">
        <v>51</v>
      </c>
      <c r="I44" s="105" t="s">
        <v>52</v>
      </c>
      <c r="J44" s="105" t="s">
        <v>53</v>
      </c>
      <c r="K44" s="105">
        <v>0.01</v>
      </c>
      <c r="L44" s="105">
        <v>0.05</v>
      </c>
      <c r="M44" s="105">
        <v>0.1</v>
      </c>
      <c r="N44" s="105">
        <v>0.2</v>
      </c>
      <c r="O44" s="105">
        <v>0.3</v>
      </c>
      <c r="P44" s="105">
        <v>0.4</v>
      </c>
      <c r="Q44" s="105">
        <v>0.5</v>
      </c>
      <c r="R44" s="105">
        <v>0.6</v>
      </c>
      <c r="S44" s="105">
        <v>0.7</v>
      </c>
      <c r="T44" s="105">
        <v>0.8</v>
      </c>
      <c r="U44" s="105">
        <v>0.9</v>
      </c>
      <c r="V44" s="105">
        <v>0.95</v>
      </c>
      <c r="W44" s="105">
        <v>0.99</v>
      </c>
      <c r="X44" s="105">
        <v>0.995</v>
      </c>
      <c r="Y44" s="105">
        <v>0.999</v>
      </c>
      <c r="Z44" s="105">
        <v>0.99950000000000006</v>
      </c>
      <c r="AA44" s="105">
        <v>0.99990000000000001</v>
      </c>
    </row>
    <row r="45" spans="2:27" x14ac:dyDescent="0.2">
      <c r="B45" s="105" t="s">
        <v>783</v>
      </c>
      <c r="C45" s="105" t="s">
        <v>772</v>
      </c>
      <c r="D45" s="105">
        <v>39.9</v>
      </c>
      <c r="E45" s="105" t="s">
        <v>602</v>
      </c>
      <c r="F45" s="105" t="s">
        <v>603</v>
      </c>
      <c r="G45" s="105" t="s">
        <v>265</v>
      </c>
      <c r="H45" s="105" t="s">
        <v>604</v>
      </c>
      <c r="I45" s="105" t="s">
        <v>605</v>
      </c>
      <c r="J45" s="105" t="s">
        <v>606</v>
      </c>
      <c r="K45" s="105" t="s">
        <v>251</v>
      </c>
      <c r="L45" s="105" t="s">
        <v>98</v>
      </c>
      <c r="M45" s="105" t="s">
        <v>241</v>
      </c>
      <c r="N45" s="105" t="s">
        <v>68</v>
      </c>
      <c r="O45" s="105" t="s">
        <v>87</v>
      </c>
      <c r="P45" s="105" t="s">
        <v>89</v>
      </c>
      <c r="Q45" s="105" t="s">
        <v>244</v>
      </c>
      <c r="R45" s="105" t="s">
        <v>456</v>
      </c>
      <c r="S45" s="105" t="s">
        <v>72</v>
      </c>
      <c r="T45" s="105" t="s">
        <v>73</v>
      </c>
      <c r="U45" s="105" t="s">
        <v>177</v>
      </c>
      <c r="V45" s="105" t="s">
        <v>76</v>
      </c>
      <c r="W45" s="105" t="s">
        <v>194</v>
      </c>
      <c r="X45" s="105" t="s">
        <v>147</v>
      </c>
      <c r="Y45" s="105" t="s">
        <v>124</v>
      </c>
      <c r="Z45" s="105" t="s">
        <v>237</v>
      </c>
      <c r="AA45" s="105" t="s">
        <v>498</v>
      </c>
    </row>
    <row r="46" spans="2:27" x14ac:dyDescent="0.2">
      <c r="C46" s="105" t="s">
        <v>773</v>
      </c>
      <c r="D46" s="105">
        <v>64.153568564554931</v>
      </c>
      <c r="E46" s="105">
        <v>2005</v>
      </c>
    </row>
    <row r="47" spans="2:27" x14ac:dyDescent="0.2">
      <c r="C47" s="105" t="s">
        <v>774</v>
      </c>
      <c r="D47" s="105">
        <v>31.804811547714515</v>
      </c>
      <c r="E47" s="105">
        <v>994</v>
      </c>
    </row>
    <row r="48" spans="2:27" x14ac:dyDescent="0.2">
      <c r="C48" s="105" t="s">
        <v>775</v>
      </c>
      <c r="D48" s="105">
        <v>49.356174000000003</v>
      </c>
      <c r="E48" s="105">
        <v>1542.1754699999999</v>
      </c>
    </row>
    <row r="49" spans="2:27" x14ac:dyDescent="0.2">
      <c r="C49" s="105" t="s">
        <v>776</v>
      </c>
      <c r="D49" s="105">
        <v>60.2</v>
      </c>
      <c r="E49" s="105" t="s">
        <v>412</v>
      </c>
      <c r="F49" s="105" t="s">
        <v>413</v>
      </c>
      <c r="G49" s="105" t="s">
        <v>93</v>
      </c>
      <c r="H49" s="105" t="s">
        <v>414</v>
      </c>
      <c r="I49" s="105" t="s">
        <v>415</v>
      </c>
      <c r="J49" s="105" t="s">
        <v>416</v>
      </c>
      <c r="K49" s="105" t="s">
        <v>96</v>
      </c>
      <c r="L49" s="105" t="s">
        <v>241</v>
      </c>
      <c r="M49" s="105" t="s">
        <v>68</v>
      </c>
      <c r="N49" s="105" t="s">
        <v>87</v>
      </c>
      <c r="O49" s="105" t="s">
        <v>242</v>
      </c>
      <c r="P49" s="105" t="s">
        <v>244</v>
      </c>
      <c r="Q49" s="105" t="s">
        <v>71</v>
      </c>
      <c r="R49" s="105" t="s">
        <v>72</v>
      </c>
      <c r="S49" s="105" t="s">
        <v>74</v>
      </c>
      <c r="T49" s="105" t="s">
        <v>307</v>
      </c>
      <c r="U49" s="105" t="s">
        <v>181</v>
      </c>
      <c r="V49" s="105" t="s">
        <v>148</v>
      </c>
      <c r="W49" s="105" t="s">
        <v>195</v>
      </c>
      <c r="X49" s="105" t="s">
        <v>208</v>
      </c>
      <c r="Y49" s="105" t="s">
        <v>402</v>
      </c>
      <c r="Z49" s="105" t="s">
        <v>417</v>
      </c>
      <c r="AA49" s="105" t="s">
        <v>418</v>
      </c>
    </row>
    <row r="50" spans="2:27" x14ac:dyDescent="0.2">
      <c r="D50" s="105" t="s">
        <v>780</v>
      </c>
      <c r="E50" s="105" t="s">
        <v>48</v>
      </c>
      <c r="F50" s="105" t="s">
        <v>49</v>
      </c>
      <c r="G50" s="105" t="s">
        <v>50</v>
      </c>
      <c r="H50" s="105" t="s">
        <v>51</v>
      </c>
      <c r="I50" s="105" t="s">
        <v>52</v>
      </c>
      <c r="J50" s="105" t="s">
        <v>53</v>
      </c>
      <c r="K50" s="105">
        <v>0.01</v>
      </c>
      <c r="L50" s="105">
        <v>0.05</v>
      </c>
      <c r="M50" s="105">
        <v>0.1</v>
      </c>
      <c r="N50" s="105">
        <v>0.2</v>
      </c>
      <c r="O50" s="105">
        <v>0.3</v>
      </c>
      <c r="P50" s="105">
        <v>0.4</v>
      </c>
      <c r="Q50" s="105">
        <v>0.5</v>
      </c>
      <c r="R50" s="105">
        <v>0.6</v>
      </c>
      <c r="S50" s="105">
        <v>0.7</v>
      </c>
      <c r="T50" s="105">
        <v>0.8</v>
      </c>
      <c r="U50" s="105">
        <v>0.9</v>
      </c>
      <c r="V50" s="105">
        <v>0.95</v>
      </c>
      <c r="W50" s="105">
        <v>0.99</v>
      </c>
      <c r="X50" s="105">
        <v>0.995</v>
      </c>
      <c r="Y50" s="105">
        <v>0.999</v>
      </c>
      <c r="Z50" s="105">
        <v>0.99950000000000006</v>
      </c>
      <c r="AA50" s="105">
        <v>0.99990000000000001</v>
      </c>
    </row>
    <row r="51" spans="2:27" x14ac:dyDescent="0.2">
      <c r="B51" s="105" t="s">
        <v>784</v>
      </c>
      <c r="C51" s="105" t="s">
        <v>772</v>
      </c>
      <c r="D51" s="105">
        <v>45.3</v>
      </c>
      <c r="E51" s="105" t="s">
        <v>607</v>
      </c>
      <c r="F51" s="105" t="s">
        <v>608</v>
      </c>
      <c r="G51" s="105" t="s">
        <v>93</v>
      </c>
      <c r="H51" s="105" t="s">
        <v>609</v>
      </c>
      <c r="I51" s="105" t="s">
        <v>610</v>
      </c>
      <c r="K51" s="105" t="s">
        <v>251</v>
      </c>
      <c r="L51" s="105" t="s">
        <v>98</v>
      </c>
      <c r="M51" s="105" t="s">
        <v>241</v>
      </c>
      <c r="N51" s="105" t="s">
        <v>81</v>
      </c>
      <c r="O51" s="105" t="s">
        <v>68</v>
      </c>
      <c r="P51" s="105" t="s">
        <v>87</v>
      </c>
      <c r="Q51" s="105" t="s">
        <v>89</v>
      </c>
      <c r="R51" s="105" t="s">
        <v>242</v>
      </c>
      <c r="S51" s="105" t="s">
        <v>243</v>
      </c>
      <c r="T51" s="105" t="s">
        <v>244</v>
      </c>
      <c r="U51" s="105" t="s">
        <v>456</v>
      </c>
      <c r="V51" s="105" t="s">
        <v>73</v>
      </c>
      <c r="W51" s="105" t="s">
        <v>193</v>
      </c>
      <c r="X51" s="105" t="s">
        <v>110</v>
      </c>
      <c r="Y51" s="105" t="s">
        <v>148</v>
      </c>
      <c r="Z51" s="105" t="s">
        <v>217</v>
      </c>
      <c r="AA51" s="105" t="s">
        <v>409</v>
      </c>
    </row>
    <row r="52" spans="2:27" x14ac:dyDescent="0.2">
      <c r="C52" s="105" t="s">
        <v>773</v>
      </c>
      <c r="D52" s="105">
        <v>64.2</v>
      </c>
      <c r="E52" s="105">
        <v>2005</v>
      </c>
    </row>
    <row r="53" spans="2:27" x14ac:dyDescent="0.2">
      <c r="C53" s="105" t="s">
        <v>774</v>
      </c>
      <c r="D53" s="105">
        <v>36.278389830508473</v>
      </c>
      <c r="E53" s="105">
        <v>1134</v>
      </c>
    </row>
    <row r="54" spans="2:27" x14ac:dyDescent="0.2">
      <c r="C54" s="105" t="s">
        <v>775</v>
      </c>
      <c r="D54" s="105">
        <v>52.061745000000002</v>
      </c>
      <c r="E54" s="105">
        <v>1626.6220799999999</v>
      </c>
    </row>
    <row r="55" spans="2:27" x14ac:dyDescent="0.2">
      <c r="C55" s="105" t="s">
        <v>776</v>
      </c>
      <c r="D55" s="105">
        <v>63.5</v>
      </c>
      <c r="E55" s="105">
        <v>1984</v>
      </c>
    </row>
    <row r="58" spans="2:27" x14ac:dyDescent="0.2">
      <c r="D58" s="105" t="s">
        <v>780</v>
      </c>
      <c r="E58" s="105" t="s">
        <v>48</v>
      </c>
      <c r="F58" s="105" t="s">
        <v>49</v>
      </c>
      <c r="G58" s="105" t="s">
        <v>50</v>
      </c>
      <c r="H58" s="105" t="s">
        <v>51</v>
      </c>
      <c r="I58" s="105" t="s">
        <v>52</v>
      </c>
      <c r="J58" s="105" t="s">
        <v>53</v>
      </c>
      <c r="K58" s="105">
        <v>0.01</v>
      </c>
      <c r="L58" s="105">
        <v>0.05</v>
      </c>
      <c r="M58" s="105">
        <v>0.1</v>
      </c>
      <c r="N58" s="105">
        <v>0.2</v>
      </c>
      <c r="O58" s="105">
        <v>0.3</v>
      </c>
      <c r="P58" s="105">
        <v>0.4</v>
      </c>
      <c r="Q58" s="105">
        <v>0.5</v>
      </c>
      <c r="R58" s="105">
        <v>0.6</v>
      </c>
      <c r="S58" s="105">
        <v>0.7</v>
      </c>
      <c r="T58" s="105">
        <v>0.8</v>
      </c>
      <c r="U58" s="105">
        <v>0.9</v>
      </c>
      <c r="V58" s="105">
        <v>0.95</v>
      </c>
      <c r="W58" s="105">
        <v>0.99</v>
      </c>
      <c r="X58" s="105">
        <v>0.995</v>
      </c>
      <c r="Y58" s="105">
        <v>0.999</v>
      </c>
      <c r="Z58" s="105">
        <v>0.99950000000000006</v>
      </c>
      <c r="AA58" s="105">
        <v>0.99990000000000001</v>
      </c>
    </row>
    <row r="59" spans="2:27" x14ac:dyDescent="0.2">
      <c r="B59" s="105" t="s">
        <v>785</v>
      </c>
      <c r="C59" s="105" t="s">
        <v>772</v>
      </c>
      <c r="D59" s="105">
        <v>33.6</v>
      </c>
      <c r="E59" s="105" t="s">
        <v>611</v>
      </c>
      <c r="F59" s="105" t="s">
        <v>612</v>
      </c>
      <c r="G59" s="105" t="s">
        <v>94</v>
      </c>
      <c r="H59" s="105" t="s">
        <v>484</v>
      </c>
      <c r="I59" s="105" t="s">
        <v>613</v>
      </c>
      <c r="K59" s="105" t="s">
        <v>251</v>
      </c>
      <c r="L59" s="105" t="s">
        <v>97</v>
      </c>
      <c r="M59" s="105" t="s">
        <v>97</v>
      </c>
      <c r="N59" s="105" t="s">
        <v>97</v>
      </c>
      <c r="O59" s="105" t="s">
        <v>98</v>
      </c>
      <c r="P59" s="105" t="s">
        <v>82</v>
      </c>
      <c r="Q59" s="105" t="s">
        <v>241</v>
      </c>
      <c r="R59" s="105" t="s">
        <v>68</v>
      </c>
      <c r="S59" s="105" t="s">
        <v>88</v>
      </c>
      <c r="T59" s="105" t="s">
        <v>89</v>
      </c>
      <c r="U59" s="105" t="s">
        <v>242</v>
      </c>
      <c r="V59" s="105" t="s">
        <v>243</v>
      </c>
      <c r="W59" s="105" t="s">
        <v>75</v>
      </c>
      <c r="X59" s="105" t="s">
        <v>233</v>
      </c>
      <c r="Y59" s="105" t="s">
        <v>112</v>
      </c>
      <c r="Z59" s="105" t="s">
        <v>207</v>
      </c>
      <c r="AA59" s="105" t="s">
        <v>484</v>
      </c>
    </row>
    <row r="60" spans="2:27" x14ac:dyDescent="0.2">
      <c r="C60" s="105" t="s">
        <v>773</v>
      </c>
      <c r="D60" s="105">
        <v>43.11306005719733</v>
      </c>
      <c r="E60" s="105">
        <v>1346</v>
      </c>
      <c r="K60" s="105">
        <v>23.144130757800895</v>
      </c>
      <c r="L60" s="105">
        <v>26.300148588410103</v>
      </c>
      <c r="M60" s="105">
        <v>28.404160475482914</v>
      </c>
      <c r="N60" s="105">
        <v>29.456166419019315</v>
      </c>
      <c r="O60" s="105">
        <v>30.508172362555719</v>
      </c>
      <c r="P60" s="105">
        <v>32.612184249628534</v>
      </c>
      <c r="Q60" s="105">
        <v>34.716196136701335</v>
      </c>
      <c r="R60" s="105">
        <v>35.768202080237742</v>
      </c>
      <c r="S60" s="105">
        <v>36.82020802377415</v>
      </c>
      <c r="T60" s="105">
        <v>38.924219910846951</v>
      </c>
      <c r="U60" s="105">
        <v>44.184249628528974</v>
      </c>
      <c r="V60" s="105">
        <v>47.34026745913819</v>
      </c>
      <c r="W60" s="105">
        <v>61.016344725111438</v>
      </c>
      <c r="X60" s="105">
        <v>66.276374442793468</v>
      </c>
      <c r="Y60" s="105">
        <v>78.900445765230316</v>
      </c>
      <c r="Z60" s="105">
        <v>86.264487369985133</v>
      </c>
      <c r="AA60" s="105">
        <v>114.66864784546806</v>
      </c>
    </row>
    <row r="61" spans="2:27" x14ac:dyDescent="0.2">
      <c r="C61" s="105" t="s">
        <v>774</v>
      </c>
      <c r="D61" s="105">
        <v>21.428408007626313</v>
      </c>
      <c r="E61" s="105">
        <v>669</v>
      </c>
      <c r="K61" s="105">
        <v>56.496263079222565</v>
      </c>
      <c r="L61" s="105">
        <v>61.632286995515528</v>
      </c>
      <c r="M61" s="105">
        <v>61.632286995515528</v>
      </c>
      <c r="N61" s="105">
        <v>61.632286995515528</v>
      </c>
      <c r="O61" s="105">
        <v>64.200298953661999</v>
      </c>
      <c r="P61" s="105">
        <v>66.768310911808484</v>
      </c>
      <c r="Q61" s="105">
        <v>69.336322869954969</v>
      </c>
      <c r="R61" s="105">
        <v>74.472346786247925</v>
      </c>
      <c r="S61" s="105">
        <v>82.176382660687366</v>
      </c>
      <c r="T61" s="105">
        <v>101</v>
      </c>
      <c r="U61" s="105">
        <v>129</v>
      </c>
      <c r="V61" s="105">
        <v>182</v>
      </c>
      <c r="W61" s="105">
        <v>199</v>
      </c>
      <c r="X61" s="105">
        <v>205</v>
      </c>
      <c r="Y61" s="105">
        <v>257</v>
      </c>
      <c r="Z61" s="105">
        <v>656</v>
      </c>
      <c r="AA61" s="105">
        <v>901.37219730941456</v>
      </c>
    </row>
    <row r="62" spans="2:27" x14ac:dyDescent="0.2">
      <c r="C62" s="105" t="s">
        <v>775</v>
      </c>
      <c r="D62" s="105">
        <v>33.472027600000004</v>
      </c>
      <c r="E62" s="105">
        <v>1045.110649</v>
      </c>
      <c r="K62" s="105" t="s">
        <v>251</v>
      </c>
      <c r="L62" s="105" t="s">
        <v>97</v>
      </c>
      <c r="M62" s="105" t="s">
        <v>97</v>
      </c>
      <c r="N62" s="105" t="s">
        <v>97</v>
      </c>
      <c r="O62" s="105">
        <v>26</v>
      </c>
      <c r="P62" s="105">
        <v>27</v>
      </c>
      <c r="Q62" s="105">
        <v>28</v>
      </c>
      <c r="R62" s="105">
        <v>30</v>
      </c>
      <c r="S62" s="105">
        <v>34</v>
      </c>
      <c r="T62" s="105">
        <v>36</v>
      </c>
      <c r="U62" s="105">
        <v>36</v>
      </c>
      <c r="V62" s="105">
        <v>40</v>
      </c>
      <c r="W62" s="105">
        <v>49</v>
      </c>
      <c r="X62" s="105">
        <v>54</v>
      </c>
      <c r="Y62" s="105">
        <v>72</v>
      </c>
      <c r="Z62" s="105">
        <v>86</v>
      </c>
      <c r="AA62" s="105">
        <v>275</v>
      </c>
    </row>
    <row r="63" spans="2:27" x14ac:dyDescent="0.2">
      <c r="C63" s="105" t="s">
        <v>776</v>
      </c>
      <c r="D63" s="105">
        <v>37.6</v>
      </c>
      <c r="E63" s="105" t="s">
        <v>391</v>
      </c>
      <c r="F63" s="105" t="s">
        <v>392</v>
      </c>
      <c r="G63" s="105" t="s">
        <v>265</v>
      </c>
      <c r="H63" s="105" t="s">
        <v>393</v>
      </c>
      <c r="I63" s="105" t="s">
        <v>394</v>
      </c>
      <c r="K63" s="105" t="s">
        <v>94</v>
      </c>
      <c r="L63" s="105" t="s">
        <v>251</v>
      </c>
      <c r="M63" s="105" t="s">
        <v>96</v>
      </c>
      <c r="N63" s="105" t="s">
        <v>96</v>
      </c>
      <c r="O63" s="105" t="s">
        <v>96</v>
      </c>
      <c r="P63" s="105" t="s">
        <v>96</v>
      </c>
      <c r="Q63" s="105" t="s">
        <v>97</v>
      </c>
      <c r="R63" s="105" t="s">
        <v>98</v>
      </c>
      <c r="S63" s="105" t="s">
        <v>82</v>
      </c>
      <c r="T63" s="105" t="s">
        <v>81</v>
      </c>
      <c r="U63" s="105" t="s">
        <v>87</v>
      </c>
      <c r="V63" s="105" t="s">
        <v>88</v>
      </c>
      <c r="W63" s="105" t="s">
        <v>72</v>
      </c>
      <c r="X63" s="105" t="s">
        <v>378</v>
      </c>
      <c r="Y63" s="105" t="s">
        <v>110</v>
      </c>
      <c r="Z63" s="105" t="s">
        <v>145</v>
      </c>
      <c r="AA63" s="105" t="s">
        <v>395</v>
      </c>
    </row>
    <row r="65" spans="2:27" x14ac:dyDescent="0.2">
      <c r="D65" s="105" t="s">
        <v>780</v>
      </c>
      <c r="E65" s="105" t="s">
        <v>48</v>
      </c>
      <c r="F65" s="105" t="s">
        <v>49</v>
      </c>
      <c r="G65" s="105" t="s">
        <v>50</v>
      </c>
      <c r="H65" s="105" t="s">
        <v>51</v>
      </c>
      <c r="I65" s="105" t="s">
        <v>52</v>
      </c>
      <c r="J65" s="105" t="s">
        <v>53</v>
      </c>
      <c r="K65" s="105">
        <v>0.01</v>
      </c>
      <c r="L65" s="105">
        <v>0.05</v>
      </c>
      <c r="M65" s="105">
        <v>0.1</v>
      </c>
      <c r="N65" s="105">
        <v>0.2</v>
      </c>
      <c r="O65" s="105">
        <v>0.3</v>
      </c>
      <c r="P65" s="105">
        <v>0.4</v>
      </c>
      <c r="Q65" s="105">
        <v>0.5</v>
      </c>
      <c r="R65" s="105">
        <v>0.6</v>
      </c>
      <c r="S65" s="105">
        <v>0.7</v>
      </c>
      <c r="T65" s="105">
        <v>0.8</v>
      </c>
      <c r="U65" s="105">
        <v>0.9</v>
      </c>
      <c r="V65" s="105">
        <v>0.95</v>
      </c>
      <c r="W65" s="105">
        <v>0.99</v>
      </c>
      <c r="X65" s="105">
        <v>0.995</v>
      </c>
      <c r="Y65" s="105">
        <v>0.999</v>
      </c>
      <c r="Z65" s="105">
        <v>0.99950000000000006</v>
      </c>
      <c r="AA65" s="105">
        <v>0.99990000000000001</v>
      </c>
    </row>
    <row r="66" spans="2:27" x14ac:dyDescent="0.2">
      <c r="B66" s="105" t="s">
        <v>786</v>
      </c>
      <c r="C66" s="105" t="s">
        <v>772</v>
      </c>
      <c r="D66" s="105">
        <v>50.4</v>
      </c>
      <c r="E66" s="105" t="s">
        <v>629</v>
      </c>
      <c r="F66" s="105" t="s">
        <v>630</v>
      </c>
      <c r="G66" s="105" t="s">
        <v>250</v>
      </c>
      <c r="H66" s="105" t="s">
        <v>631</v>
      </c>
      <c r="I66" s="105" t="s">
        <v>632</v>
      </c>
      <c r="J66" s="105" t="s">
        <v>633</v>
      </c>
      <c r="K66" s="105" t="s">
        <v>98</v>
      </c>
      <c r="L66" s="105" t="s">
        <v>68</v>
      </c>
      <c r="M66" s="105" t="s">
        <v>88</v>
      </c>
      <c r="N66" s="105" t="s">
        <v>252</v>
      </c>
      <c r="O66" s="105" t="s">
        <v>69</v>
      </c>
      <c r="P66" s="105" t="s">
        <v>456</v>
      </c>
      <c r="Q66" s="105" t="s">
        <v>73</v>
      </c>
      <c r="R66" s="105" t="s">
        <v>301</v>
      </c>
      <c r="S66" s="105" t="s">
        <v>233</v>
      </c>
      <c r="T66" s="105" t="s">
        <v>181</v>
      </c>
      <c r="U66" s="105" t="s">
        <v>114</v>
      </c>
      <c r="V66" s="105" t="s">
        <v>166</v>
      </c>
      <c r="W66" s="105" t="s">
        <v>342</v>
      </c>
      <c r="X66" s="105" t="s">
        <v>327</v>
      </c>
      <c r="Y66" s="105" t="s">
        <v>196</v>
      </c>
      <c r="Z66" s="105" t="s">
        <v>527</v>
      </c>
      <c r="AA66" s="105" t="s">
        <v>634</v>
      </c>
    </row>
    <row r="67" spans="2:27" x14ac:dyDescent="0.2">
      <c r="C67" s="105" t="s">
        <v>773</v>
      </c>
      <c r="D67" s="105">
        <v>63.528335451080046</v>
      </c>
      <c r="E67" s="105">
        <v>1984</v>
      </c>
    </row>
    <row r="68" spans="2:27" x14ac:dyDescent="0.2">
      <c r="C68" s="105" t="s">
        <v>774</v>
      </c>
      <c r="D68" s="105">
        <v>41.466327827191868</v>
      </c>
      <c r="E68" s="105">
        <v>1295</v>
      </c>
    </row>
    <row r="69" spans="2:27" x14ac:dyDescent="0.2">
      <c r="C69" s="105" t="s">
        <v>775</v>
      </c>
      <c r="D69" s="105">
        <v>44.243610950000004</v>
      </c>
      <c r="E69" s="105">
        <v>1381.6113519999999</v>
      </c>
    </row>
    <row r="70" spans="2:27" x14ac:dyDescent="0.2">
      <c r="C70" s="105" t="s">
        <v>776</v>
      </c>
      <c r="D70" s="105">
        <v>49.7</v>
      </c>
      <c r="E70" s="105" t="s">
        <v>383</v>
      </c>
      <c r="F70" s="105" t="s">
        <v>384</v>
      </c>
      <c r="G70" s="105" t="s">
        <v>257</v>
      </c>
      <c r="H70" s="105" t="s">
        <v>385</v>
      </c>
      <c r="I70" s="105" t="s">
        <v>386</v>
      </c>
      <c r="J70" s="105" t="s">
        <v>387</v>
      </c>
      <c r="K70" s="105" t="s">
        <v>97</v>
      </c>
      <c r="L70" s="105" t="s">
        <v>81</v>
      </c>
      <c r="M70" s="105" t="s">
        <v>87</v>
      </c>
      <c r="N70" s="105" t="s">
        <v>243</v>
      </c>
      <c r="O70" s="105" t="s">
        <v>254</v>
      </c>
      <c r="P70" s="105" t="s">
        <v>71</v>
      </c>
      <c r="Q70" s="105" t="s">
        <v>73</v>
      </c>
      <c r="R70" s="105" t="s">
        <v>301</v>
      </c>
      <c r="S70" s="105" t="s">
        <v>233</v>
      </c>
      <c r="T70" s="105" t="s">
        <v>107</v>
      </c>
      <c r="U70" s="105" t="s">
        <v>207</v>
      </c>
      <c r="V70" s="105" t="s">
        <v>167</v>
      </c>
      <c r="W70" s="105" t="s">
        <v>321</v>
      </c>
      <c r="X70" s="105" t="s">
        <v>333</v>
      </c>
      <c r="Y70" s="105" t="s">
        <v>388</v>
      </c>
      <c r="Z70" s="105" t="s">
        <v>389</v>
      </c>
      <c r="AA70" s="105" t="s">
        <v>390</v>
      </c>
    </row>
    <row r="72" spans="2:27" x14ac:dyDescent="0.2">
      <c r="D72" s="105" t="s">
        <v>780</v>
      </c>
      <c r="E72" s="105" t="s">
        <v>48</v>
      </c>
      <c r="F72" s="105" t="s">
        <v>49</v>
      </c>
      <c r="G72" s="105" t="s">
        <v>50</v>
      </c>
      <c r="H72" s="105" t="s">
        <v>51</v>
      </c>
      <c r="I72" s="105" t="s">
        <v>52</v>
      </c>
      <c r="J72" s="105" t="s">
        <v>53</v>
      </c>
      <c r="K72" s="105">
        <v>0.01</v>
      </c>
      <c r="L72" s="105">
        <v>0.05</v>
      </c>
      <c r="M72" s="105">
        <v>0.1</v>
      </c>
      <c r="N72" s="105">
        <v>0.2</v>
      </c>
      <c r="O72" s="105">
        <v>0.3</v>
      </c>
      <c r="P72" s="105">
        <v>0.4</v>
      </c>
      <c r="Q72" s="105">
        <v>0.5</v>
      </c>
      <c r="R72" s="105">
        <v>0.6</v>
      </c>
      <c r="S72" s="105">
        <v>0.7</v>
      </c>
      <c r="T72" s="105">
        <v>0.8</v>
      </c>
      <c r="U72" s="105">
        <v>0.9</v>
      </c>
      <c r="V72" s="105">
        <v>0.95</v>
      </c>
      <c r="W72" s="105">
        <v>0.99</v>
      </c>
      <c r="X72" s="105">
        <v>0.995</v>
      </c>
      <c r="Y72" s="105">
        <v>0.999</v>
      </c>
      <c r="Z72" s="105">
        <v>0.99950000000000006</v>
      </c>
      <c r="AA72" s="105">
        <v>0.99990000000000001</v>
      </c>
    </row>
    <row r="73" spans="2:27" x14ac:dyDescent="0.2">
      <c r="B73" s="105" t="s">
        <v>787</v>
      </c>
      <c r="C73" s="105" t="s">
        <v>772</v>
      </c>
      <c r="D73" s="105" t="s">
        <v>223</v>
      </c>
      <c r="E73" s="105" t="s">
        <v>614</v>
      </c>
      <c r="F73" s="105" t="s">
        <v>615</v>
      </c>
      <c r="G73" s="105" t="s">
        <v>93</v>
      </c>
      <c r="H73" s="105" t="s">
        <v>616</v>
      </c>
      <c r="I73" s="105" t="s">
        <v>617</v>
      </c>
      <c r="J73" s="105" t="s">
        <v>618</v>
      </c>
      <c r="K73" s="105" t="s">
        <v>86</v>
      </c>
      <c r="L73" s="105" t="s">
        <v>69</v>
      </c>
      <c r="M73" s="105" t="s">
        <v>255</v>
      </c>
      <c r="N73" s="105" t="s">
        <v>307</v>
      </c>
      <c r="O73" s="105" t="s">
        <v>76</v>
      </c>
      <c r="P73" s="105" t="s">
        <v>109</v>
      </c>
      <c r="Q73" s="105" t="s">
        <v>145</v>
      </c>
      <c r="R73" s="105" t="s">
        <v>148</v>
      </c>
      <c r="S73" s="105" t="s">
        <v>218</v>
      </c>
      <c r="T73" s="105" t="s">
        <v>127</v>
      </c>
      <c r="U73" s="105" t="s">
        <v>153</v>
      </c>
      <c r="V73" s="105" t="s">
        <v>278</v>
      </c>
      <c r="W73" s="105" t="s">
        <v>417</v>
      </c>
      <c r="X73" s="105" t="s">
        <v>484</v>
      </c>
      <c r="Y73" s="105" t="s">
        <v>619</v>
      </c>
      <c r="Z73" s="105" t="s">
        <v>324</v>
      </c>
      <c r="AA73" s="105" t="s">
        <v>620</v>
      </c>
    </row>
    <row r="74" spans="2:27" x14ac:dyDescent="0.2">
      <c r="C74" s="105" t="s">
        <v>773</v>
      </c>
      <c r="D74" s="105">
        <v>73.321898227558606</v>
      </c>
      <c r="E74" s="105">
        <v>2290</v>
      </c>
    </row>
    <row r="75" spans="2:27" x14ac:dyDescent="0.2">
      <c r="C75" s="105" t="s">
        <v>774</v>
      </c>
      <c r="D75" s="105">
        <v>53.224904701397712</v>
      </c>
      <c r="E75" s="105">
        <v>1496</v>
      </c>
    </row>
    <row r="76" spans="2:27" x14ac:dyDescent="0.2">
      <c r="C76" s="105" t="s">
        <v>775</v>
      </c>
      <c r="D76" s="105">
        <v>57.41877075</v>
      </c>
      <c r="E76" s="105">
        <v>1793.7802025000001</v>
      </c>
    </row>
    <row r="77" spans="2:27" x14ac:dyDescent="0.2">
      <c r="C77" s="105" t="s">
        <v>776</v>
      </c>
      <c r="D77" s="105">
        <v>64.5</v>
      </c>
      <c r="E77" s="105" t="s">
        <v>373</v>
      </c>
      <c r="F77" s="105" t="s">
        <v>374</v>
      </c>
      <c r="G77" s="105" t="s">
        <v>257</v>
      </c>
      <c r="H77" s="105" t="s">
        <v>375</v>
      </c>
      <c r="I77" s="105" t="s">
        <v>376</v>
      </c>
      <c r="J77" s="105" t="s">
        <v>377</v>
      </c>
      <c r="K77" s="105" t="s">
        <v>82</v>
      </c>
      <c r="L77" s="105" t="s">
        <v>89</v>
      </c>
      <c r="M77" s="105" t="s">
        <v>244</v>
      </c>
      <c r="N77" s="105" t="s">
        <v>255</v>
      </c>
      <c r="O77" s="105" t="s">
        <v>378</v>
      </c>
      <c r="P77" s="105" t="s">
        <v>106</v>
      </c>
      <c r="Q77" s="105" t="s">
        <v>181</v>
      </c>
      <c r="R77" s="105" t="s">
        <v>112</v>
      </c>
      <c r="S77" s="105" t="s">
        <v>146</v>
      </c>
      <c r="T77" s="105" t="s">
        <v>217</v>
      </c>
      <c r="U77" s="105" t="s">
        <v>128</v>
      </c>
      <c r="V77" s="105" t="s">
        <v>153</v>
      </c>
      <c r="W77" s="105" t="s">
        <v>379</v>
      </c>
      <c r="X77" s="105" t="s">
        <v>380</v>
      </c>
      <c r="Y77" s="105" t="s">
        <v>370</v>
      </c>
      <c r="Z77" s="105" t="s">
        <v>381</v>
      </c>
      <c r="AA77" s="105" t="s">
        <v>382</v>
      </c>
    </row>
    <row r="79" spans="2:27" x14ac:dyDescent="0.2">
      <c r="D79" s="105" t="s">
        <v>780</v>
      </c>
      <c r="E79" s="105" t="s">
        <v>48</v>
      </c>
      <c r="F79" s="105" t="s">
        <v>49</v>
      </c>
      <c r="G79" s="105" t="s">
        <v>50</v>
      </c>
      <c r="H79" s="105" t="s">
        <v>51</v>
      </c>
      <c r="I79" s="105" t="s">
        <v>52</v>
      </c>
      <c r="J79" s="105" t="s">
        <v>53</v>
      </c>
      <c r="K79" s="105">
        <v>0.01</v>
      </c>
      <c r="L79" s="105">
        <v>0.05</v>
      </c>
      <c r="M79" s="105">
        <v>0.1</v>
      </c>
      <c r="N79" s="105">
        <v>0.2</v>
      </c>
      <c r="O79" s="105">
        <v>0.3</v>
      </c>
      <c r="P79" s="105">
        <v>0.4</v>
      </c>
      <c r="Q79" s="105">
        <v>0.5</v>
      </c>
      <c r="R79" s="105">
        <v>0.6</v>
      </c>
      <c r="S79" s="105">
        <v>0.7</v>
      </c>
      <c r="T79" s="105">
        <v>0.8</v>
      </c>
      <c r="U79" s="105">
        <v>0.9</v>
      </c>
      <c r="V79" s="105">
        <v>0.95</v>
      </c>
      <c r="W79" s="105">
        <v>0.99</v>
      </c>
      <c r="X79" s="105">
        <v>0.995</v>
      </c>
      <c r="Y79" s="105">
        <v>0.999</v>
      </c>
      <c r="Z79" s="105">
        <v>0.99950000000000006</v>
      </c>
      <c r="AA79" s="105">
        <v>0.99990000000000001</v>
      </c>
    </row>
    <row r="80" spans="2:27" x14ac:dyDescent="0.2">
      <c r="B80" s="105" t="s">
        <v>788</v>
      </c>
      <c r="C80" s="105" t="s">
        <v>772</v>
      </c>
      <c r="D80" s="105">
        <v>64.3</v>
      </c>
      <c r="E80" s="105" t="s">
        <v>621</v>
      </c>
      <c r="F80" s="105" t="s">
        <v>622</v>
      </c>
      <c r="G80" s="105" t="s">
        <v>452</v>
      </c>
      <c r="H80" s="105" t="s">
        <v>623</v>
      </c>
      <c r="I80" s="105" t="s">
        <v>624</v>
      </c>
      <c r="J80" s="105" t="s">
        <v>625</v>
      </c>
      <c r="K80" s="105" t="s">
        <v>242</v>
      </c>
      <c r="L80" s="105" t="s">
        <v>255</v>
      </c>
      <c r="M80" s="105" t="s">
        <v>378</v>
      </c>
      <c r="N80" s="105" t="s">
        <v>76</v>
      </c>
      <c r="O80" s="105" t="s">
        <v>111</v>
      </c>
      <c r="P80" s="105" t="s">
        <v>114</v>
      </c>
      <c r="Q80" s="105" t="s">
        <v>165</v>
      </c>
      <c r="R80" s="105" t="s">
        <v>218</v>
      </c>
      <c r="S80" s="105" t="s">
        <v>182</v>
      </c>
      <c r="T80" s="105" t="s">
        <v>238</v>
      </c>
      <c r="U80" s="105" t="s">
        <v>135</v>
      </c>
      <c r="V80" s="105" t="s">
        <v>352</v>
      </c>
      <c r="W80" s="105" t="s">
        <v>280</v>
      </c>
      <c r="X80" s="105" t="s">
        <v>626</v>
      </c>
      <c r="Y80" s="105" t="s">
        <v>371</v>
      </c>
      <c r="Z80" s="105" t="s">
        <v>627</v>
      </c>
      <c r="AA80" s="105" t="s">
        <v>628</v>
      </c>
    </row>
    <row r="81" spans="2:27" x14ac:dyDescent="0.2">
      <c r="D81" s="105" t="s">
        <v>76</v>
      </c>
      <c r="E81" s="105" t="s">
        <v>635</v>
      </c>
      <c r="F81" s="105" t="s">
        <v>563</v>
      </c>
      <c r="G81" s="105" t="s">
        <v>250</v>
      </c>
      <c r="H81" s="105" t="s">
        <v>636</v>
      </c>
      <c r="I81" s="105" t="s">
        <v>637</v>
      </c>
      <c r="J81" s="105" t="s">
        <v>638</v>
      </c>
      <c r="K81" s="105" t="s">
        <v>97</v>
      </c>
      <c r="L81" s="105" t="s">
        <v>81</v>
      </c>
      <c r="M81" s="105" t="s">
        <v>86</v>
      </c>
      <c r="N81" s="105" t="s">
        <v>89</v>
      </c>
      <c r="O81" s="105" t="s">
        <v>243</v>
      </c>
      <c r="P81" s="105" t="s">
        <v>244</v>
      </c>
      <c r="Q81" s="105" t="s">
        <v>69</v>
      </c>
      <c r="R81" s="105" t="s">
        <v>456</v>
      </c>
      <c r="S81" s="105" t="s">
        <v>255</v>
      </c>
      <c r="T81" s="105" t="s">
        <v>301</v>
      </c>
      <c r="U81" s="105" t="s">
        <v>213</v>
      </c>
      <c r="V81" s="105" t="s">
        <v>110</v>
      </c>
      <c r="W81" s="105" t="s">
        <v>167</v>
      </c>
      <c r="X81" s="105" t="s">
        <v>258</v>
      </c>
      <c r="Y81" s="105" t="s">
        <v>238</v>
      </c>
      <c r="Z81" s="105" t="s">
        <v>153</v>
      </c>
      <c r="AA81" s="105" t="s">
        <v>185</v>
      </c>
    </row>
    <row r="82" spans="2:27" x14ac:dyDescent="0.2">
      <c r="C82" s="105" t="s">
        <v>773</v>
      </c>
      <c r="D82" s="105">
        <v>77.300896414342617</v>
      </c>
      <c r="E82" s="105">
        <v>2414</v>
      </c>
    </row>
    <row r="83" spans="2:27" x14ac:dyDescent="0.2">
      <c r="C83" s="105" t="s">
        <v>774</v>
      </c>
      <c r="D83" s="105">
        <v>50.850796812749003</v>
      </c>
      <c r="E83" s="105">
        <v>1588</v>
      </c>
    </row>
    <row r="84" spans="2:27" x14ac:dyDescent="0.2">
      <c r="C84" s="105" t="s">
        <v>775</v>
      </c>
      <c r="D84" s="105">
        <v>65.163628200000005</v>
      </c>
      <c r="E84" s="105">
        <v>2035.9182745000001</v>
      </c>
    </row>
    <row r="85" spans="2:27" x14ac:dyDescent="0.2">
      <c r="C85" s="105" t="s">
        <v>776</v>
      </c>
      <c r="D85" s="105">
        <v>73.2</v>
      </c>
      <c r="E85" s="105" t="s">
        <v>363</v>
      </c>
      <c r="F85" s="105" t="s">
        <v>364</v>
      </c>
      <c r="G85" s="105" t="s">
        <v>250</v>
      </c>
      <c r="H85" s="105" t="s">
        <v>365</v>
      </c>
      <c r="I85" s="105" t="s">
        <v>366</v>
      </c>
      <c r="J85" s="105" t="s">
        <v>367</v>
      </c>
      <c r="K85" s="105" t="s">
        <v>87</v>
      </c>
      <c r="L85" s="105" t="s">
        <v>69</v>
      </c>
      <c r="M85" s="105" t="s">
        <v>255</v>
      </c>
      <c r="N85" s="105" t="s">
        <v>256</v>
      </c>
      <c r="O85" s="105" t="s">
        <v>76</v>
      </c>
      <c r="P85" s="105" t="s">
        <v>109</v>
      </c>
      <c r="Q85" s="105" t="s">
        <v>145</v>
      </c>
      <c r="R85" s="105" t="s">
        <v>147</v>
      </c>
      <c r="S85" s="105" t="s">
        <v>245</v>
      </c>
      <c r="T85" s="105" t="s">
        <v>326</v>
      </c>
      <c r="U85" s="105" t="s">
        <v>368</v>
      </c>
      <c r="V85" s="105" t="s">
        <v>343</v>
      </c>
      <c r="W85" s="105" t="s">
        <v>369</v>
      </c>
      <c r="X85" s="105" t="s">
        <v>101</v>
      </c>
      <c r="Y85" s="105" t="s">
        <v>370</v>
      </c>
      <c r="Z85" s="105" t="s">
        <v>371</v>
      </c>
      <c r="AA85" s="105" t="s">
        <v>372</v>
      </c>
    </row>
    <row r="94" spans="2:27" x14ac:dyDescent="0.2">
      <c r="D94" s="105" t="s">
        <v>789</v>
      </c>
      <c r="E94" s="105" t="s">
        <v>790</v>
      </c>
    </row>
    <row r="95" spans="2:27" x14ac:dyDescent="0.2">
      <c r="D95" s="105" t="s">
        <v>47</v>
      </c>
      <c r="E95" s="105" t="s">
        <v>48</v>
      </c>
      <c r="F95" s="105" t="s">
        <v>49</v>
      </c>
      <c r="G95" s="105" t="s">
        <v>50</v>
      </c>
      <c r="H95" s="105" t="s">
        <v>51</v>
      </c>
      <c r="I95" s="105" t="s">
        <v>52</v>
      </c>
      <c r="J95" s="105" t="s">
        <v>53</v>
      </c>
      <c r="K95" s="105">
        <v>0.01</v>
      </c>
      <c r="L95" s="105">
        <v>0.05</v>
      </c>
      <c r="M95" s="105">
        <v>0.1</v>
      </c>
      <c r="N95" s="105">
        <v>0.2</v>
      </c>
      <c r="O95" s="105">
        <v>0.3</v>
      </c>
      <c r="P95" s="105">
        <v>0.4</v>
      </c>
      <c r="Q95" s="105">
        <v>0.5</v>
      </c>
      <c r="R95" s="105">
        <v>0.6</v>
      </c>
      <c r="S95" s="105">
        <v>0.7</v>
      </c>
      <c r="T95" s="105">
        <v>0.8</v>
      </c>
      <c r="U95" s="105">
        <v>0.9</v>
      </c>
      <c r="V95" s="105">
        <v>0.95</v>
      </c>
      <c r="W95" s="105">
        <v>0.99</v>
      </c>
      <c r="X95" s="105">
        <v>0.995</v>
      </c>
      <c r="Y95" s="105">
        <v>0.999</v>
      </c>
      <c r="Z95" s="105">
        <v>0.99950000000000006</v>
      </c>
      <c r="AA95" s="105">
        <v>0.99990000000000001</v>
      </c>
    </row>
    <row r="96" spans="2:27" x14ac:dyDescent="0.2">
      <c r="B96" s="105" t="s">
        <v>791</v>
      </c>
      <c r="C96" s="105" t="s">
        <v>772</v>
      </c>
      <c r="D96" s="105" t="s">
        <v>118</v>
      </c>
      <c r="E96" s="105" t="s">
        <v>119</v>
      </c>
      <c r="F96" s="105" t="s">
        <v>120</v>
      </c>
      <c r="G96" s="105" t="s">
        <v>68</v>
      </c>
      <c r="H96" s="105" t="s">
        <v>121</v>
      </c>
      <c r="I96" s="105" t="s">
        <v>122</v>
      </c>
      <c r="J96" s="105" t="s">
        <v>123</v>
      </c>
      <c r="K96" s="105" t="s">
        <v>124</v>
      </c>
      <c r="L96" s="105" t="s">
        <v>125</v>
      </c>
      <c r="M96" s="105" t="s">
        <v>126</v>
      </c>
      <c r="N96" s="105" t="s">
        <v>127</v>
      </c>
      <c r="O96" s="105" t="s">
        <v>128</v>
      </c>
      <c r="P96" s="105" t="s">
        <v>129</v>
      </c>
      <c r="Q96" s="105" t="s">
        <v>130</v>
      </c>
      <c r="R96" s="105" t="s">
        <v>131</v>
      </c>
      <c r="S96" s="105" t="s">
        <v>132</v>
      </c>
      <c r="T96" s="105" t="s">
        <v>133</v>
      </c>
      <c r="U96" s="105" t="s">
        <v>134</v>
      </c>
      <c r="V96" s="105" t="s">
        <v>135</v>
      </c>
      <c r="W96" s="105" t="s">
        <v>90</v>
      </c>
      <c r="X96" s="105" t="s">
        <v>136</v>
      </c>
      <c r="Y96" s="105" t="s">
        <v>137</v>
      </c>
      <c r="Z96" s="105" t="s">
        <v>137</v>
      </c>
      <c r="AA96" s="105" t="s">
        <v>138</v>
      </c>
    </row>
    <row r="97" spans="1:27" x14ac:dyDescent="0.2">
      <c r="A97" s="105" t="s">
        <v>770</v>
      </c>
      <c r="C97" s="105" t="s">
        <v>773</v>
      </c>
    </row>
    <row r="98" spans="1:27" x14ac:dyDescent="0.2">
      <c r="C98" s="105" t="s">
        <v>774</v>
      </c>
    </row>
    <row r="99" spans="1:27" x14ac:dyDescent="0.2">
      <c r="C99" s="105" t="s">
        <v>775</v>
      </c>
    </row>
    <row r="100" spans="1:27" x14ac:dyDescent="0.2">
      <c r="C100" s="105" t="s">
        <v>776</v>
      </c>
    </row>
    <row r="102" spans="1:27" x14ac:dyDescent="0.2">
      <c r="D102" s="105" t="s">
        <v>47</v>
      </c>
      <c r="E102" s="105" t="s">
        <v>48</v>
      </c>
      <c r="F102" s="105" t="s">
        <v>49</v>
      </c>
      <c r="G102" s="105" t="s">
        <v>50</v>
      </c>
      <c r="H102" s="105" t="s">
        <v>51</v>
      </c>
      <c r="I102" s="105" t="s">
        <v>52</v>
      </c>
      <c r="J102" s="105" t="s">
        <v>53</v>
      </c>
      <c r="K102" s="105">
        <v>0.01</v>
      </c>
      <c r="L102" s="105">
        <v>0.05</v>
      </c>
      <c r="M102" s="105">
        <v>0.1</v>
      </c>
      <c r="N102" s="105">
        <v>0.2</v>
      </c>
      <c r="O102" s="105">
        <v>0.3</v>
      </c>
      <c r="P102" s="105">
        <v>0.4</v>
      </c>
      <c r="Q102" s="105">
        <v>0.5</v>
      </c>
      <c r="R102" s="105">
        <v>0.6</v>
      </c>
      <c r="S102" s="105">
        <v>0.7</v>
      </c>
      <c r="T102" s="105">
        <v>0.8</v>
      </c>
      <c r="U102" s="105">
        <v>0.9</v>
      </c>
      <c r="V102" s="105">
        <v>0.95</v>
      </c>
      <c r="W102" s="105">
        <v>0.99</v>
      </c>
      <c r="X102" s="105">
        <v>0.995</v>
      </c>
      <c r="Y102" s="105">
        <v>0.999</v>
      </c>
      <c r="Z102" s="105">
        <v>0.99950000000000006</v>
      </c>
      <c r="AA102" s="105">
        <v>0.99990000000000001</v>
      </c>
    </row>
    <row r="103" spans="1:27" x14ac:dyDescent="0.2">
      <c r="B103" s="105" t="s">
        <v>792</v>
      </c>
      <c r="C103" s="105" t="s">
        <v>772</v>
      </c>
      <c r="D103" s="105" t="s">
        <v>590</v>
      </c>
      <c r="E103" s="105" t="s">
        <v>591</v>
      </c>
      <c r="F103" s="105" t="s">
        <v>592</v>
      </c>
      <c r="G103" s="105" t="s">
        <v>95</v>
      </c>
      <c r="H103" s="105" t="s">
        <v>593</v>
      </c>
      <c r="I103" s="105" t="s">
        <v>594</v>
      </c>
      <c r="J103" s="105" t="s">
        <v>595</v>
      </c>
      <c r="K103" s="105" t="s">
        <v>81</v>
      </c>
      <c r="L103" s="105" t="s">
        <v>68</v>
      </c>
      <c r="M103" s="105" t="s">
        <v>68</v>
      </c>
      <c r="N103" s="105" t="s">
        <v>68</v>
      </c>
      <c r="O103" s="105" t="s">
        <v>68</v>
      </c>
      <c r="P103" s="105" t="s">
        <v>244</v>
      </c>
      <c r="Q103" s="105" t="s">
        <v>233</v>
      </c>
      <c r="R103" s="105" t="s">
        <v>111</v>
      </c>
      <c r="S103" s="105" t="s">
        <v>125</v>
      </c>
      <c r="T103" s="105" t="s">
        <v>152</v>
      </c>
      <c r="U103" s="105" t="s">
        <v>342</v>
      </c>
      <c r="V103" s="105" t="s">
        <v>263</v>
      </c>
      <c r="W103" s="105" t="s">
        <v>322</v>
      </c>
      <c r="X103" s="105" t="s">
        <v>596</v>
      </c>
      <c r="Y103" s="105" t="s">
        <v>597</v>
      </c>
      <c r="Z103" s="105" t="s">
        <v>597</v>
      </c>
      <c r="AA103" s="105" t="s">
        <v>597</v>
      </c>
    </row>
    <row r="104" spans="1:27" x14ac:dyDescent="0.2">
      <c r="C104" s="105" t="s">
        <v>773</v>
      </c>
    </row>
    <row r="105" spans="1:27" x14ac:dyDescent="0.2">
      <c r="C105" s="105" t="s">
        <v>774</v>
      </c>
    </row>
    <row r="106" spans="1:27" x14ac:dyDescent="0.2">
      <c r="C106" s="105" t="s">
        <v>775</v>
      </c>
    </row>
    <row r="107" spans="1:27" x14ac:dyDescent="0.2">
      <c r="C107" s="105" t="s">
        <v>776</v>
      </c>
    </row>
    <row r="109" spans="1:27" x14ac:dyDescent="0.2">
      <c r="D109" s="105" t="s">
        <v>47</v>
      </c>
      <c r="E109" s="105" t="s">
        <v>48</v>
      </c>
      <c r="F109" s="105" t="s">
        <v>49</v>
      </c>
      <c r="G109" s="105" t="s">
        <v>50</v>
      </c>
      <c r="H109" s="105" t="s">
        <v>51</v>
      </c>
      <c r="I109" s="105" t="s">
        <v>52</v>
      </c>
      <c r="J109" s="105" t="s">
        <v>53</v>
      </c>
      <c r="K109" s="105">
        <v>0.01</v>
      </c>
      <c r="L109" s="105">
        <v>0.05</v>
      </c>
      <c r="M109" s="105">
        <v>0.1</v>
      </c>
      <c r="N109" s="105">
        <v>0.2</v>
      </c>
      <c r="O109" s="105">
        <v>0.3</v>
      </c>
      <c r="P109" s="105">
        <v>0.4</v>
      </c>
      <c r="Q109" s="105">
        <v>0.5</v>
      </c>
      <c r="R109" s="105">
        <v>0.6</v>
      </c>
      <c r="S109" s="105">
        <v>0.7</v>
      </c>
      <c r="T109" s="105">
        <v>0.8</v>
      </c>
      <c r="U109" s="105">
        <v>0.9</v>
      </c>
      <c r="V109" s="105">
        <v>0.95</v>
      </c>
      <c r="W109" s="105">
        <v>0.99</v>
      </c>
      <c r="X109" s="105">
        <v>0.995</v>
      </c>
      <c r="Y109" s="105">
        <v>0.999</v>
      </c>
      <c r="Z109" s="105">
        <v>0.99950000000000006</v>
      </c>
      <c r="AA109" s="105">
        <v>0.99990000000000001</v>
      </c>
    </row>
    <row r="110" spans="1:27" x14ac:dyDescent="0.2">
      <c r="B110" s="105" t="s">
        <v>793</v>
      </c>
      <c r="C110" s="105" t="s">
        <v>772</v>
      </c>
      <c r="D110" s="105">
        <v>2688</v>
      </c>
      <c r="E110" s="105">
        <v>84</v>
      </c>
    </row>
    <row r="111" spans="1:27" x14ac:dyDescent="0.2">
      <c r="C111" s="105" t="s">
        <v>773</v>
      </c>
    </row>
    <row r="112" spans="1:27" x14ac:dyDescent="0.2">
      <c r="C112" s="105" t="s">
        <v>774</v>
      </c>
    </row>
    <row r="113" spans="2:27" x14ac:dyDescent="0.2">
      <c r="C113" s="105" t="s">
        <v>775</v>
      </c>
    </row>
    <row r="114" spans="2:27" x14ac:dyDescent="0.2">
      <c r="C114" s="105" t="s">
        <v>776</v>
      </c>
    </row>
    <row r="116" spans="2:27" x14ac:dyDescent="0.2">
      <c r="D116" s="105" t="s">
        <v>47</v>
      </c>
      <c r="E116" s="105" t="s">
        <v>48</v>
      </c>
      <c r="F116" s="105" t="s">
        <v>49</v>
      </c>
      <c r="G116" s="105" t="s">
        <v>50</v>
      </c>
      <c r="H116" s="105" t="s">
        <v>51</v>
      </c>
      <c r="I116" s="105" t="s">
        <v>52</v>
      </c>
      <c r="J116" s="105" t="s">
        <v>53</v>
      </c>
      <c r="K116" s="105">
        <v>0.01</v>
      </c>
      <c r="L116" s="105">
        <v>0.05</v>
      </c>
      <c r="M116" s="105">
        <v>0.1</v>
      </c>
      <c r="N116" s="105">
        <v>0.2</v>
      </c>
      <c r="O116" s="105">
        <v>0.3</v>
      </c>
      <c r="P116" s="105">
        <v>0.4</v>
      </c>
      <c r="Q116" s="105">
        <v>0.5</v>
      </c>
      <c r="R116" s="105">
        <v>0.6</v>
      </c>
      <c r="S116" s="105">
        <v>0.7</v>
      </c>
      <c r="T116" s="105">
        <v>0.8</v>
      </c>
      <c r="U116" s="105">
        <v>0.9</v>
      </c>
      <c r="V116" s="105">
        <v>0.95</v>
      </c>
      <c r="W116" s="105">
        <v>0.99</v>
      </c>
      <c r="X116" s="105">
        <v>0.995</v>
      </c>
      <c r="Y116" s="105">
        <v>0.999</v>
      </c>
      <c r="Z116" s="105">
        <v>0.99950000000000006</v>
      </c>
      <c r="AA116" s="105">
        <v>0.99990000000000001</v>
      </c>
    </row>
    <row r="117" spans="2:27" x14ac:dyDescent="0.2">
      <c r="B117" s="105" t="s">
        <v>794</v>
      </c>
      <c r="C117" s="105" t="s">
        <v>772</v>
      </c>
      <c r="D117" s="105">
        <v>2690</v>
      </c>
      <c r="E117" s="105">
        <v>84.1</v>
      </c>
    </row>
    <row r="118" spans="2:27" x14ac:dyDescent="0.2">
      <c r="C118" s="105" t="s">
        <v>773</v>
      </c>
    </row>
    <row r="119" spans="2:27" x14ac:dyDescent="0.2">
      <c r="C119" s="105" t="s">
        <v>774</v>
      </c>
    </row>
    <row r="120" spans="2:27" x14ac:dyDescent="0.2">
      <c r="C120" s="105" t="s">
        <v>775</v>
      </c>
    </row>
    <row r="121" spans="2:27" x14ac:dyDescent="0.2">
      <c r="C121" s="105" t="s">
        <v>776</v>
      </c>
    </row>
    <row r="123" spans="2:27" x14ac:dyDescent="0.2">
      <c r="D123" s="105" t="s">
        <v>47</v>
      </c>
      <c r="E123" s="105" t="s">
        <v>48</v>
      </c>
      <c r="F123" s="105" t="s">
        <v>49</v>
      </c>
      <c r="G123" s="105" t="s">
        <v>50</v>
      </c>
      <c r="H123" s="105" t="s">
        <v>51</v>
      </c>
      <c r="I123" s="105" t="s">
        <v>52</v>
      </c>
      <c r="J123" s="105" t="s">
        <v>53</v>
      </c>
      <c r="K123" s="105">
        <v>0.01</v>
      </c>
      <c r="L123" s="105">
        <v>0.05</v>
      </c>
      <c r="M123" s="105">
        <v>0.1</v>
      </c>
      <c r="N123" s="105">
        <v>0.2</v>
      </c>
      <c r="O123" s="105">
        <v>0.3</v>
      </c>
      <c r="P123" s="105">
        <v>0.4</v>
      </c>
      <c r="Q123" s="105">
        <v>0.5</v>
      </c>
      <c r="R123" s="105">
        <v>0.6</v>
      </c>
      <c r="S123" s="105">
        <v>0.7</v>
      </c>
      <c r="T123" s="105">
        <v>0.8</v>
      </c>
      <c r="U123" s="105">
        <v>0.9</v>
      </c>
      <c r="V123" s="105">
        <v>0.95</v>
      </c>
      <c r="W123" s="105">
        <v>0.99</v>
      </c>
      <c r="X123" s="105">
        <v>0.995</v>
      </c>
      <c r="Y123" s="105">
        <v>0.999</v>
      </c>
      <c r="Z123" s="105">
        <v>0.99950000000000006</v>
      </c>
      <c r="AA123" s="105">
        <v>0.99990000000000001</v>
      </c>
    </row>
    <row r="124" spans="2:27" x14ac:dyDescent="0.2">
      <c r="B124" s="105" t="s">
        <v>795</v>
      </c>
      <c r="C124" s="105" t="s">
        <v>772</v>
      </c>
      <c r="D124" s="105">
        <v>28.2</v>
      </c>
      <c r="E124" s="105">
        <v>883</v>
      </c>
      <c r="F124" s="105">
        <v>926</v>
      </c>
      <c r="G124" s="105" t="s">
        <v>82</v>
      </c>
      <c r="H124" s="105" t="s">
        <v>83</v>
      </c>
      <c r="I124" s="105" t="s">
        <v>84</v>
      </c>
      <c r="J124" s="105" t="s">
        <v>85</v>
      </c>
      <c r="K124" s="105" t="s">
        <v>68</v>
      </c>
      <c r="L124" s="105" t="s">
        <v>86</v>
      </c>
      <c r="M124" s="105" t="s">
        <v>86</v>
      </c>
      <c r="N124" s="105" t="s">
        <v>87</v>
      </c>
      <c r="O124" s="105" t="s">
        <v>87</v>
      </c>
      <c r="P124" s="105" t="s">
        <v>88</v>
      </c>
      <c r="Q124" s="105" t="s">
        <v>89</v>
      </c>
      <c r="R124" s="105" t="s">
        <v>242</v>
      </c>
      <c r="S124" s="105" t="s">
        <v>243</v>
      </c>
      <c r="T124" s="105" t="s">
        <v>252</v>
      </c>
      <c r="U124" s="105" t="s">
        <v>254</v>
      </c>
      <c r="V124" s="105" t="s">
        <v>75</v>
      </c>
      <c r="W124" s="105" t="s">
        <v>108</v>
      </c>
      <c r="X124" s="105" t="s">
        <v>111</v>
      </c>
      <c r="Y124" s="105" t="s">
        <v>168</v>
      </c>
      <c r="Z124" s="105" t="s">
        <v>227</v>
      </c>
      <c r="AA124" s="105" t="s">
        <v>425</v>
      </c>
    </row>
    <row r="125" spans="2:27" x14ac:dyDescent="0.2">
      <c r="C125" s="105" t="s">
        <v>773</v>
      </c>
    </row>
    <row r="126" spans="2:27" x14ac:dyDescent="0.2">
      <c r="C126" s="105" t="s">
        <v>774</v>
      </c>
    </row>
    <row r="127" spans="2:27" x14ac:dyDescent="0.2">
      <c r="C127" s="105" t="s">
        <v>775</v>
      </c>
    </row>
    <row r="128" spans="2:27" x14ac:dyDescent="0.2">
      <c r="C128" s="105" t="s">
        <v>776</v>
      </c>
    </row>
    <row r="130" spans="2:27" x14ac:dyDescent="0.2">
      <c r="D130" s="105" t="s">
        <v>47</v>
      </c>
      <c r="E130" s="105" t="s">
        <v>48</v>
      </c>
      <c r="F130" s="105" t="s">
        <v>49</v>
      </c>
      <c r="G130" s="105" t="s">
        <v>50</v>
      </c>
      <c r="H130" s="105" t="s">
        <v>51</v>
      </c>
      <c r="I130" s="105" t="s">
        <v>52</v>
      </c>
      <c r="J130" s="105" t="s">
        <v>53</v>
      </c>
      <c r="K130" s="105">
        <v>0.01</v>
      </c>
      <c r="L130" s="105">
        <v>0.05</v>
      </c>
      <c r="M130" s="105">
        <v>0.1</v>
      </c>
      <c r="N130" s="105">
        <v>0.2</v>
      </c>
      <c r="O130" s="105">
        <v>0.3</v>
      </c>
      <c r="P130" s="105">
        <v>0.4</v>
      </c>
      <c r="Q130" s="105">
        <v>0.5</v>
      </c>
      <c r="R130" s="105">
        <v>0.6</v>
      </c>
      <c r="S130" s="105">
        <v>0.7</v>
      </c>
      <c r="T130" s="105">
        <v>0.8</v>
      </c>
      <c r="U130" s="105">
        <v>0.9</v>
      </c>
      <c r="V130" s="105">
        <v>0.95</v>
      </c>
      <c r="W130" s="105">
        <v>0.99</v>
      </c>
      <c r="X130" s="105">
        <v>0.995</v>
      </c>
      <c r="Y130" s="105">
        <v>0.999</v>
      </c>
      <c r="Z130" s="105">
        <v>0.99950000000000006</v>
      </c>
      <c r="AA130" s="105">
        <v>0.99990000000000001</v>
      </c>
    </row>
    <row r="131" spans="2:27" x14ac:dyDescent="0.2">
      <c r="B131" s="105" t="s">
        <v>796</v>
      </c>
      <c r="C131" s="105" t="s">
        <v>772</v>
      </c>
      <c r="D131" s="105">
        <v>37.4</v>
      </c>
      <c r="E131" s="105" t="s">
        <v>598</v>
      </c>
      <c r="F131" s="105" t="s">
        <v>599</v>
      </c>
      <c r="G131" s="105" t="s">
        <v>452</v>
      </c>
      <c r="H131" s="105" t="s">
        <v>600</v>
      </c>
      <c r="I131" s="105" t="s">
        <v>601</v>
      </c>
      <c r="K131" s="105" t="s">
        <v>95</v>
      </c>
      <c r="L131" s="105" t="s">
        <v>95</v>
      </c>
      <c r="M131" s="105" t="s">
        <v>251</v>
      </c>
      <c r="N131" s="105" t="s">
        <v>251</v>
      </c>
      <c r="O131" s="105" t="s">
        <v>96</v>
      </c>
      <c r="P131" s="105" t="s">
        <v>96</v>
      </c>
      <c r="Q131" s="105" t="s">
        <v>97</v>
      </c>
      <c r="R131" s="105" t="s">
        <v>82</v>
      </c>
      <c r="S131" s="105" t="s">
        <v>68</v>
      </c>
      <c r="T131" s="105" t="s">
        <v>86</v>
      </c>
      <c r="U131" s="105" t="s">
        <v>87</v>
      </c>
      <c r="V131" s="105" t="s">
        <v>244</v>
      </c>
      <c r="W131" s="105" t="s">
        <v>74</v>
      </c>
      <c r="X131" s="105" t="s">
        <v>233</v>
      </c>
      <c r="Y131" s="105" t="s">
        <v>110</v>
      </c>
      <c r="Z131" s="105" t="s">
        <v>207</v>
      </c>
      <c r="AA131" s="105" t="s">
        <v>425</v>
      </c>
    </row>
    <row r="132" spans="2:27" x14ac:dyDescent="0.2">
      <c r="C132" s="105" t="s">
        <v>773</v>
      </c>
    </row>
    <row r="133" spans="2:27" x14ac:dyDescent="0.2">
      <c r="C133" s="105" t="s">
        <v>774</v>
      </c>
    </row>
    <row r="134" spans="2:27" x14ac:dyDescent="0.2">
      <c r="C134" s="105" t="s">
        <v>775</v>
      </c>
    </row>
    <row r="135" spans="2:27" x14ac:dyDescent="0.2">
      <c r="C135" s="105" t="s">
        <v>776</v>
      </c>
    </row>
    <row r="137" spans="2:27" x14ac:dyDescent="0.2">
      <c r="D137" s="105" t="s">
        <v>47</v>
      </c>
      <c r="E137" s="105" t="s">
        <v>48</v>
      </c>
      <c r="F137" s="105" t="s">
        <v>49</v>
      </c>
      <c r="G137" s="105" t="s">
        <v>50</v>
      </c>
      <c r="H137" s="105" t="s">
        <v>51</v>
      </c>
      <c r="I137" s="105" t="s">
        <v>52</v>
      </c>
      <c r="J137" s="105" t="s">
        <v>53</v>
      </c>
      <c r="K137" s="105">
        <v>0.01</v>
      </c>
      <c r="L137" s="105">
        <v>0.05</v>
      </c>
      <c r="M137" s="105">
        <v>0.1</v>
      </c>
      <c r="N137" s="105">
        <v>0.2</v>
      </c>
      <c r="O137" s="105">
        <v>0.3</v>
      </c>
      <c r="P137" s="105">
        <v>0.4</v>
      </c>
      <c r="Q137" s="105">
        <v>0.5</v>
      </c>
      <c r="R137" s="105">
        <v>0.6</v>
      </c>
      <c r="S137" s="105">
        <v>0.7</v>
      </c>
      <c r="T137" s="105">
        <v>0.8</v>
      </c>
      <c r="U137" s="105">
        <v>0.9</v>
      </c>
      <c r="V137" s="105">
        <v>0.95</v>
      </c>
      <c r="W137" s="105">
        <v>0.99</v>
      </c>
      <c r="X137" s="105">
        <v>0.995</v>
      </c>
      <c r="Y137" s="105">
        <v>0.999</v>
      </c>
      <c r="Z137" s="105">
        <v>0.99950000000000006</v>
      </c>
      <c r="AA137" s="105">
        <v>0.99990000000000001</v>
      </c>
    </row>
    <row r="138" spans="2:27" x14ac:dyDescent="0.2">
      <c r="B138" s="105" t="s">
        <v>797</v>
      </c>
      <c r="C138" s="105" t="s">
        <v>772</v>
      </c>
      <c r="D138" s="105">
        <v>39.9</v>
      </c>
      <c r="E138" s="105" t="s">
        <v>602</v>
      </c>
      <c r="F138" s="105" t="s">
        <v>603</v>
      </c>
      <c r="G138" s="105" t="s">
        <v>265</v>
      </c>
      <c r="H138" s="105" t="s">
        <v>604</v>
      </c>
      <c r="I138" s="105" t="s">
        <v>605</v>
      </c>
      <c r="J138" s="105" t="s">
        <v>606</v>
      </c>
      <c r="K138" s="105" t="s">
        <v>251</v>
      </c>
      <c r="L138" s="105" t="s">
        <v>98</v>
      </c>
      <c r="M138" s="105" t="s">
        <v>241</v>
      </c>
      <c r="N138" s="105" t="s">
        <v>68</v>
      </c>
      <c r="O138" s="105" t="s">
        <v>87</v>
      </c>
      <c r="P138" s="105" t="s">
        <v>89</v>
      </c>
      <c r="Q138" s="105" t="s">
        <v>244</v>
      </c>
      <c r="R138" s="105" t="s">
        <v>456</v>
      </c>
      <c r="S138" s="105" t="s">
        <v>72</v>
      </c>
      <c r="T138" s="105" t="s">
        <v>73</v>
      </c>
      <c r="U138" s="105" t="s">
        <v>177</v>
      </c>
      <c r="V138" s="105" t="s">
        <v>76</v>
      </c>
      <c r="W138" s="105" t="s">
        <v>194</v>
      </c>
      <c r="X138" s="105" t="s">
        <v>147</v>
      </c>
      <c r="Y138" s="105" t="s">
        <v>124</v>
      </c>
      <c r="Z138" s="105" t="s">
        <v>237</v>
      </c>
      <c r="AA138" s="105" t="s">
        <v>498</v>
      </c>
    </row>
    <row r="139" spans="2:27" x14ac:dyDescent="0.2">
      <c r="C139" s="105" t="s">
        <v>773</v>
      </c>
    </row>
    <row r="140" spans="2:27" x14ac:dyDescent="0.2">
      <c r="C140" s="105" t="s">
        <v>774</v>
      </c>
    </row>
    <row r="141" spans="2:27" x14ac:dyDescent="0.2">
      <c r="C141" s="105" t="s">
        <v>775</v>
      </c>
    </row>
    <row r="142" spans="2:27" x14ac:dyDescent="0.2">
      <c r="C142" s="105" t="s">
        <v>776</v>
      </c>
    </row>
    <row r="144" spans="2:27" x14ac:dyDescent="0.2">
      <c r="D144" s="105" t="s">
        <v>47</v>
      </c>
      <c r="E144" s="105" t="s">
        <v>48</v>
      </c>
      <c r="F144" s="105" t="s">
        <v>49</v>
      </c>
      <c r="G144" s="105" t="s">
        <v>50</v>
      </c>
      <c r="H144" s="105" t="s">
        <v>51</v>
      </c>
      <c r="I144" s="105" t="s">
        <v>52</v>
      </c>
      <c r="J144" s="105" t="s">
        <v>53</v>
      </c>
      <c r="K144" s="105">
        <v>0.01</v>
      </c>
      <c r="L144" s="105">
        <v>0.05</v>
      </c>
      <c r="M144" s="105">
        <v>0.1</v>
      </c>
      <c r="N144" s="105">
        <v>0.2</v>
      </c>
      <c r="O144" s="105">
        <v>0.3</v>
      </c>
      <c r="P144" s="105">
        <v>0.4</v>
      </c>
      <c r="Q144" s="105">
        <v>0.5</v>
      </c>
      <c r="R144" s="105">
        <v>0.6</v>
      </c>
      <c r="S144" s="105">
        <v>0.7</v>
      </c>
      <c r="T144" s="105">
        <v>0.8</v>
      </c>
      <c r="U144" s="105">
        <v>0.9</v>
      </c>
      <c r="V144" s="105">
        <v>0.95</v>
      </c>
      <c r="W144" s="105">
        <v>0.99</v>
      </c>
      <c r="X144" s="105">
        <v>0.995</v>
      </c>
      <c r="Y144" s="105">
        <v>0.999</v>
      </c>
      <c r="Z144" s="105">
        <v>0.99950000000000006</v>
      </c>
      <c r="AA144" s="105">
        <v>0.99990000000000001</v>
      </c>
    </row>
    <row r="145" spans="2:27" x14ac:dyDescent="0.2">
      <c r="B145" s="105" t="s">
        <v>798</v>
      </c>
      <c r="C145" s="105" t="s">
        <v>772</v>
      </c>
      <c r="D145" s="105">
        <v>45.3</v>
      </c>
      <c r="E145" s="105" t="s">
        <v>607</v>
      </c>
      <c r="F145" s="105" t="s">
        <v>608</v>
      </c>
      <c r="G145" s="105" t="s">
        <v>93</v>
      </c>
      <c r="H145" s="105" t="s">
        <v>609</v>
      </c>
      <c r="I145" s="105" t="s">
        <v>610</v>
      </c>
      <c r="K145" s="105" t="s">
        <v>251</v>
      </c>
      <c r="L145" s="105" t="s">
        <v>98</v>
      </c>
      <c r="M145" s="105" t="s">
        <v>241</v>
      </c>
      <c r="N145" s="105" t="s">
        <v>81</v>
      </c>
      <c r="O145" s="105" t="s">
        <v>68</v>
      </c>
      <c r="P145" s="105" t="s">
        <v>87</v>
      </c>
      <c r="Q145" s="105" t="s">
        <v>89</v>
      </c>
      <c r="R145" s="105" t="s">
        <v>242</v>
      </c>
      <c r="S145" s="105" t="s">
        <v>243</v>
      </c>
      <c r="T145" s="105" t="s">
        <v>244</v>
      </c>
      <c r="U145" s="105" t="s">
        <v>456</v>
      </c>
      <c r="V145" s="105" t="s">
        <v>73</v>
      </c>
      <c r="W145" s="105" t="s">
        <v>193</v>
      </c>
      <c r="X145" s="105" t="s">
        <v>110</v>
      </c>
      <c r="Y145" s="105" t="s">
        <v>148</v>
      </c>
      <c r="Z145" s="105" t="s">
        <v>217</v>
      </c>
      <c r="AA145" s="105" t="s">
        <v>409</v>
      </c>
    </row>
    <row r="146" spans="2:27" x14ac:dyDescent="0.2">
      <c r="C146" s="105" t="s">
        <v>773</v>
      </c>
    </row>
    <row r="147" spans="2:27" x14ac:dyDescent="0.2">
      <c r="C147" s="105" t="s">
        <v>774</v>
      </c>
    </row>
    <row r="148" spans="2:27" x14ac:dyDescent="0.2">
      <c r="C148" s="105" t="s">
        <v>775</v>
      </c>
    </row>
    <row r="149" spans="2:27" x14ac:dyDescent="0.2">
      <c r="C149" s="105" t="s">
        <v>776</v>
      </c>
    </row>
    <row r="152" spans="2:27" x14ac:dyDescent="0.2">
      <c r="D152" s="105" t="s">
        <v>47</v>
      </c>
      <c r="E152" s="105" t="s">
        <v>48</v>
      </c>
      <c r="F152" s="105" t="s">
        <v>49</v>
      </c>
      <c r="G152" s="105" t="s">
        <v>50</v>
      </c>
      <c r="H152" s="105" t="s">
        <v>51</v>
      </c>
      <c r="I152" s="105" t="s">
        <v>52</v>
      </c>
      <c r="J152" s="105" t="s">
        <v>53</v>
      </c>
      <c r="K152" s="105">
        <v>0.01</v>
      </c>
      <c r="L152" s="105">
        <v>0.05</v>
      </c>
      <c r="M152" s="105">
        <v>0.1</v>
      </c>
      <c r="N152" s="105">
        <v>0.2</v>
      </c>
      <c r="O152" s="105">
        <v>0.3</v>
      </c>
      <c r="P152" s="105">
        <v>0.4</v>
      </c>
      <c r="Q152" s="105">
        <v>0.5</v>
      </c>
      <c r="R152" s="105">
        <v>0.6</v>
      </c>
      <c r="S152" s="105">
        <v>0.7</v>
      </c>
      <c r="T152" s="105">
        <v>0.8</v>
      </c>
      <c r="U152" s="105">
        <v>0.9</v>
      </c>
      <c r="V152" s="105">
        <v>0.95</v>
      </c>
      <c r="W152" s="105">
        <v>0.99</v>
      </c>
      <c r="X152" s="105">
        <v>0.995</v>
      </c>
      <c r="Y152" s="105">
        <v>0.999</v>
      </c>
      <c r="Z152" s="105">
        <v>0.99950000000000006</v>
      </c>
      <c r="AA152" s="105">
        <v>0.99990000000000001</v>
      </c>
    </row>
    <row r="153" spans="2:27" x14ac:dyDescent="0.2">
      <c r="B153" s="105" t="s">
        <v>799</v>
      </c>
      <c r="C153" s="105" t="s">
        <v>772</v>
      </c>
      <c r="D153" s="105">
        <v>33.6</v>
      </c>
      <c r="E153" s="105" t="s">
        <v>611</v>
      </c>
      <c r="F153" s="105" t="s">
        <v>612</v>
      </c>
      <c r="G153" s="105" t="s">
        <v>94</v>
      </c>
      <c r="H153" s="105" t="s">
        <v>484</v>
      </c>
      <c r="I153" s="105" t="s">
        <v>613</v>
      </c>
      <c r="K153" s="105" t="s">
        <v>251</v>
      </c>
      <c r="L153" s="105" t="s">
        <v>97</v>
      </c>
      <c r="M153" s="105" t="s">
        <v>97</v>
      </c>
      <c r="N153" s="105" t="s">
        <v>97</v>
      </c>
      <c r="O153" s="105" t="s">
        <v>98</v>
      </c>
      <c r="P153" s="105" t="s">
        <v>82</v>
      </c>
      <c r="Q153" s="105" t="s">
        <v>241</v>
      </c>
      <c r="R153" s="105" t="s">
        <v>68</v>
      </c>
      <c r="S153" s="105" t="s">
        <v>88</v>
      </c>
      <c r="T153" s="105" t="s">
        <v>89</v>
      </c>
      <c r="U153" s="105" t="s">
        <v>242</v>
      </c>
      <c r="V153" s="105" t="s">
        <v>243</v>
      </c>
      <c r="W153" s="105" t="s">
        <v>75</v>
      </c>
      <c r="X153" s="105" t="s">
        <v>233</v>
      </c>
      <c r="Y153" s="105" t="s">
        <v>112</v>
      </c>
      <c r="Z153" s="105" t="s">
        <v>207</v>
      </c>
      <c r="AA153" s="105" t="s">
        <v>484</v>
      </c>
    </row>
    <row r="154" spans="2:27" x14ac:dyDescent="0.2">
      <c r="C154" s="105" t="s">
        <v>773</v>
      </c>
    </row>
    <row r="155" spans="2:27" x14ac:dyDescent="0.2">
      <c r="C155" s="105" t="s">
        <v>774</v>
      </c>
    </row>
    <row r="156" spans="2:27" x14ac:dyDescent="0.2">
      <c r="C156" s="105" t="s">
        <v>775</v>
      </c>
    </row>
    <row r="157" spans="2:27" x14ac:dyDescent="0.2">
      <c r="C157" s="105" t="s">
        <v>776</v>
      </c>
    </row>
    <row r="159" spans="2:27" x14ac:dyDescent="0.2">
      <c r="D159" s="105" t="s">
        <v>47</v>
      </c>
      <c r="E159" s="105" t="s">
        <v>48</v>
      </c>
      <c r="F159" s="105" t="s">
        <v>49</v>
      </c>
      <c r="G159" s="105" t="s">
        <v>50</v>
      </c>
      <c r="H159" s="105" t="s">
        <v>51</v>
      </c>
      <c r="I159" s="105" t="s">
        <v>52</v>
      </c>
      <c r="J159" s="105" t="s">
        <v>53</v>
      </c>
      <c r="K159" s="105">
        <v>0.01</v>
      </c>
      <c r="L159" s="105">
        <v>0.05</v>
      </c>
      <c r="M159" s="105">
        <v>0.1</v>
      </c>
      <c r="N159" s="105">
        <v>0.2</v>
      </c>
      <c r="O159" s="105">
        <v>0.3</v>
      </c>
      <c r="P159" s="105">
        <v>0.4</v>
      </c>
      <c r="Q159" s="105">
        <v>0.5</v>
      </c>
      <c r="R159" s="105">
        <v>0.6</v>
      </c>
      <c r="S159" s="105">
        <v>0.7</v>
      </c>
      <c r="T159" s="105">
        <v>0.8</v>
      </c>
      <c r="U159" s="105">
        <v>0.9</v>
      </c>
      <c r="V159" s="105">
        <v>0.95</v>
      </c>
      <c r="W159" s="105">
        <v>0.99</v>
      </c>
      <c r="X159" s="105">
        <v>0.995</v>
      </c>
      <c r="Y159" s="105">
        <v>0.999</v>
      </c>
      <c r="Z159" s="105">
        <v>0.99950000000000006</v>
      </c>
      <c r="AA159" s="105">
        <v>0.99990000000000001</v>
      </c>
    </row>
    <row r="160" spans="2:27" x14ac:dyDescent="0.2">
      <c r="B160" s="105" t="s">
        <v>800</v>
      </c>
      <c r="C160" s="105" t="s">
        <v>772</v>
      </c>
      <c r="D160" s="105">
        <v>50.4</v>
      </c>
      <c r="E160" s="105" t="s">
        <v>629</v>
      </c>
      <c r="F160" s="105" t="s">
        <v>630</v>
      </c>
      <c r="G160" s="105" t="s">
        <v>250</v>
      </c>
      <c r="H160" s="105" t="s">
        <v>631</v>
      </c>
      <c r="I160" s="105" t="s">
        <v>632</v>
      </c>
      <c r="J160" s="105" t="s">
        <v>633</v>
      </c>
      <c r="K160" s="105" t="s">
        <v>98</v>
      </c>
      <c r="L160" s="105" t="s">
        <v>68</v>
      </c>
      <c r="M160" s="105" t="s">
        <v>88</v>
      </c>
      <c r="N160" s="105" t="s">
        <v>252</v>
      </c>
      <c r="O160" s="105" t="s">
        <v>69</v>
      </c>
      <c r="P160" s="105" t="s">
        <v>456</v>
      </c>
      <c r="Q160" s="105" t="s">
        <v>73</v>
      </c>
      <c r="R160" s="105" t="s">
        <v>301</v>
      </c>
      <c r="S160" s="105" t="s">
        <v>233</v>
      </c>
      <c r="T160" s="105" t="s">
        <v>181</v>
      </c>
      <c r="U160" s="105" t="s">
        <v>114</v>
      </c>
      <c r="V160" s="105" t="s">
        <v>166</v>
      </c>
      <c r="W160" s="105" t="s">
        <v>342</v>
      </c>
      <c r="X160" s="105" t="s">
        <v>327</v>
      </c>
      <c r="Y160" s="105" t="s">
        <v>196</v>
      </c>
      <c r="Z160" s="105" t="s">
        <v>527</v>
      </c>
      <c r="AA160" s="105" t="s">
        <v>634</v>
      </c>
    </row>
    <row r="161" spans="2:27" x14ac:dyDescent="0.2">
      <c r="C161" s="105" t="s">
        <v>773</v>
      </c>
    </row>
    <row r="162" spans="2:27" x14ac:dyDescent="0.2">
      <c r="C162" s="105" t="s">
        <v>774</v>
      </c>
    </row>
    <row r="163" spans="2:27" x14ac:dyDescent="0.2">
      <c r="C163" s="105" t="s">
        <v>775</v>
      </c>
    </row>
    <row r="164" spans="2:27" x14ac:dyDescent="0.2">
      <c r="C164" s="105" t="s">
        <v>776</v>
      </c>
    </row>
    <row r="166" spans="2:27" x14ac:dyDescent="0.2">
      <c r="D166" s="105" t="s">
        <v>47</v>
      </c>
      <c r="E166" s="105" t="s">
        <v>48</v>
      </c>
      <c r="F166" s="105" t="s">
        <v>49</v>
      </c>
      <c r="G166" s="105" t="s">
        <v>50</v>
      </c>
      <c r="H166" s="105" t="s">
        <v>51</v>
      </c>
      <c r="I166" s="105" t="s">
        <v>52</v>
      </c>
      <c r="J166" s="105" t="s">
        <v>53</v>
      </c>
      <c r="K166" s="105">
        <v>0.01</v>
      </c>
      <c r="L166" s="105">
        <v>0.05</v>
      </c>
      <c r="M166" s="105">
        <v>0.1</v>
      </c>
      <c r="N166" s="105">
        <v>0.2</v>
      </c>
      <c r="O166" s="105">
        <v>0.3</v>
      </c>
      <c r="P166" s="105">
        <v>0.4</v>
      </c>
      <c r="Q166" s="105">
        <v>0.5</v>
      </c>
      <c r="R166" s="105">
        <v>0.6</v>
      </c>
      <c r="S166" s="105">
        <v>0.7</v>
      </c>
      <c r="T166" s="105">
        <v>0.8</v>
      </c>
      <c r="U166" s="105">
        <v>0.9</v>
      </c>
      <c r="V166" s="105">
        <v>0.95</v>
      </c>
      <c r="W166" s="105">
        <v>0.99</v>
      </c>
      <c r="X166" s="105">
        <v>0.995</v>
      </c>
      <c r="Y166" s="105">
        <v>0.999</v>
      </c>
      <c r="Z166" s="105">
        <v>0.99950000000000006</v>
      </c>
      <c r="AA166" s="105">
        <v>0.99990000000000001</v>
      </c>
    </row>
    <row r="167" spans="2:27" x14ac:dyDescent="0.2">
      <c r="B167" s="105" t="s">
        <v>801</v>
      </c>
      <c r="C167" s="105" t="s">
        <v>772</v>
      </c>
      <c r="D167" s="105" t="s">
        <v>223</v>
      </c>
      <c r="E167" s="105" t="s">
        <v>614</v>
      </c>
      <c r="F167" s="105" t="s">
        <v>615</v>
      </c>
      <c r="G167" s="105" t="s">
        <v>93</v>
      </c>
      <c r="H167" s="105" t="s">
        <v>616</v>
      </c>
      <c r="I167" s="105" t="s">
        <v>617</v>
      </c>
      <c r="J167" s="105" t="s">
        <v>618</v>
      </c>
      <c r="K167" s="105" t="s">
        <v>86</v>
      </c>
      <c r="L167" s="105" t="s">
        <v>69</v>
      </c>
      <c r="M167" s="105" t="s">
        <v>255</v>
      </c>
      <c r="N167" s="105" t="s">
        <v>307</v>
      </c>
      <c r="O167" s="105" t="s">
        <v>76</v>
      </c>
      <c r="P167" s="105" t="s">
        <v>109</v>
      </c>
      <c r="Q167" s="105" t="s">
        <v>145</v>
      </c>
      <c r="R167" s="105" t="s">
        <v>148</v>
      </c>
      <c r="S167" s="105" t="s">
        <v>218</v>
      </c>
      <c r="T167" s="105" t="s">
        <v>127</v>
      </c>
      <c r="U167" s="105" t="s">
        <v>153</v>
      </c>
      <c r="V167" s="105" t="s">
        <v>278</v>
      </c>
      <c r="W167" s="105" t="s">
        <v>417</v>
      </c>
      <c r="X167" s="105" t="s">
        <v>484</v>
      </c>
      <c r="Y167" s="105" t="s">
        <v>619</v>
      </c>
      <c r="Z167" s="105" t="s">
        <v>324</v>
      </c>
      <c r="AA167" s="105" t="s">
        <v>620</v>
      </c>
    </row>
    <row r="168" spans="2:27" x14ac:dyDescent="0.2">
      <c r="C168" s="105" t="s">
        <v>773</v>
      </c>
    </row>
    <row r="169" spans="2:27" x14ac:dyDescent="0.2">
      <c r="C169" s="105" t="s">
        <v>774</v>
      </c>
    </row>
    <row r="170" spans="2:27" x14ac:dyDescent="0.2">
      <c r="C170" s="105" t="s">
        <v>775</v>
      </c>
    </row>
    <row r="171" spans="2:27" x14ac:dyDescent="0.2">
      <c r="C171" s="105" t="s">
        <v>776</v>
      </c>
    </row>
    <row r="173" spans="2:27" x14ac:dyDescent="0.2">
      <c r="D173" s="105" t="s">
        <v>47</v>
      </c>
      <c r="E173" s="105" t="s">
        <v>48</v>
      </c>
      <c r="F173" s="105" t="s">
        <v>49</v>
      </c>
      <c r="G173" s="105" t="s">
        <v>50</v>
      </c>
      <c r="H173" s="105" t="s">
        <v>51</v>
      </c>
      <c r="I173" s="105" t="s">
        <v>52</v>
      </c>
      <c r="J173" s="105" t="s">
        <v>53</v>
      </c>
      <c r="K173" s="105">
        <v>0.01</v>
      </c>
      <c r="L173" s="105">
        <v>0.05</v>
      </c>
      <c r="M173" s="105">
        <v>0.1</v>
      </c>
      <c r="N173" s="105">
        <v>0.2</v>
      </c>
      <c r="O173" s="105">
        <v>0.3</v>
      </c>
      <c r="P173" s="105">
        <v>0.4</v>
      </c>
      <c r="Q173" s="105">
        <v>0.5</v>
      </c>
      <c r="R173" s="105">
        <v>0.6</v>
      </c>
      <c r="S173" s="105">
        <v>0.7</v>
      </c>
      <c r="T173" s="105">
        <v>0.8</v>
      </c>
      <c r="U173" s="105">
        <v>0.9</v>
      </c>
      <c r="V173" s="105">
        <v>0.95</v>
      </c>
      <c r="W173" s="105">
        <v>0.99</v>
      </c>
      <c r="X173" s="105">
        <v>0.995</v>
      </c>
      <c r="Y173" s="105">
        <v>0.999</v>
      </c>
      <c r="Z173" s="105">
        <v>0.99950000000000006</v>
      </c>
      <c r="AA173" s="105">
        <v>0.99990000000000001</v>
      </c>
    </row>
    <row r="174" spans="2:27" x14ac:dyDescent="0.2">
      <c r="B174" s="105" t="s">
        <v>802</v>
      </c>
      <c r="C174" s="105" t="s">
        <v>772</v>
      </c>
      <c r="D174" s="105">
        <v>64.3</v>
      </c>
      <c r="E174" s="105" t="s">
        <v>621</v>
      </c>
      <c r="F174" s="105" t="s">
        <v>622</v>
      </c>
      <c r="G174" s="105" t="s">
        <v>452</v>
      </c>
      <c r="H174" s="105" t="s">
        <v>623</v>
      </c>
      <c r="I174" s="105" t="s">
        <v>624</v>
      </c>
      <c r="J174" s="105" t="s">
        <v>625</v>
      </c>
      <c r="K174" s="105" t="s">
        <v>242</v>
      </c>
      <c r="L174" s="105" t="s">
        <v>255</v>
      </c>
      <c r="M174" s="105" t="s">
        <v>378</v>
      </c>
      <c r="N174" s="105" t="s">
        <v>76</v>
      </c>
      <c r="O174" s="105" t="s">
        <v>111</v>
      </c>
      <c r="P174" s="105" t="s">
        <v>114</v>
      </c>
      <c r="Q174" s="105" t="s">
        <v>165</v>
      </c>
      <c r="R174" s="105" t="s">
        <v>218</v>
      </c>
      <c r="S174" s="105" t="s">
        <v>182</v>
      </c>
      <c r="T174" s="105" t="s">
        <v>238</v>
      </c>
      <c r="U174" s="105" t="s">
        <v>135</v>
      </c>
      <c r="V174" s="105" t="s">
        <v>352</v>
      </c>
      <c r="W174" s="105" t="s">
        <v>280</v>
      </c>
      <c r="X174" s="105" t="s">
        <v>626</v>
      </c>
      <c r="Y174" s="105" t="s">
        <v>371</v>
      </c>
      <c r="Z174" s="105" t="s">
        <v>627</v>
      </c>
      <c r="AA174" s="105" t="s">
        <v>628</v>
      </c>
    </row>
    <row r="175" spans="2:27" x14ac:dyDescent="0.2">
      <c r="C175" s="105" t="s">
        <v>773</v>
      </c>
    </row>
    <row r="176" spans="2:27" x14ac:dyDescent="0.2">
      <c r="C176" s="105" t="s">
        <v>774</v>
      </c>
    </row>
    <row r="177" spans="1:27" x14ac:dyDescent="0.2">
      <c r="C177" s="105" t="s">
        <v>775</v>
      </c>
    </row>
    <row r="178" spans="1:27" x14ac:dyDescent="0.2">
      <c r="C178" s="105" t="s">
        <v>776</v>
      </c>
    </row>
    <row r="181" spans="1:27" x14ac:dyDescent="0.2">
      <c r="A181" s="105" t="s">
        <v>803</v>
      </c>
    </row>
    <row r="182" spans="1:27" x14ac:dyDescent="0.2">
      <c r="D182" s="105" t="s">
        <v>47</v>
      </c>
      <c r="E182" s="105" t="s">
        <v>48</v>
      </c>
      <c r="F182" s="105" t="s">
        <v>49</v>
      </c>
      <c r="G182" s="105" t="s">
        <v>50</v>
      </c>
      <c r="H182" s="105" t="s">
        <v>51</v>
      </c>
      <c r="I182" s="105" t="s">
        <v>52</v>
      </c>
      <c r="J182" s="105" t="s">
        <v>53</v>
      </c>
      <c r="K182" s="105">
        <v>0.01</v>
      </c>
      <c r="L182" s="105">
        <v>0.05</v>
      </c>
      <c r="M182" s="105">
        <v>0.1</v>
      </c>
      <c r="N182" s="105">
        <v>0.2</v>
      </c>
      <c r="O182" s="105">
        <v>0.3</v>
      </c>
      <c r="P182" s="105">
        <v>0.4</v>
      </c>
      <c r="Q182" s="105">
        <v>0.5</v>
      </c>
      <c r="R182" s="105">
        <v>0.6</v>
      </c>
      <c r="S182" s="105">
        <v>0.7</v>
      </c>
      <c r="T182" s="105">
        <v>0.8</v>
      </c>
      <c r="U182" s="105">
        <v>0.9</v>
      </c>
      <c r="V182" s="105">
        <v>0.95</v>
      </c>
      <c r="W182" s="105">
        <v>0.99</v>
      </c>
      <c r="X182" s="105">
        <v>0.995</v>
      </c>
      <c r="Y182" s="105">
        <v>0.999</v>
      </c>
      <c r="Z182" s="105">
        <v>0.99950000000000006</v>
      </c>
      <c r="AA182" s="105">
        <v>0.99990000000000001</v>
      </c>
    </row>
    <row r="183" spans="1:27" x14ac:dyDescent="0.2">
      <c r="B183" s="105" t="s">
        <v>804</v>
      </c>
      <c r="C183" s="105" t="s">
        <v>772</v>
      </c>
      <c r="D183" s="105" t="s">
        <v>118</v>
      </c>
      <c r="E183" s="105" t="s">
        <v>119</v>
      </c>
      <c r="F183" s="105" t="s">
        <v>120</v>
      </c>
      <c r="G183" s="105" t="s">
        <v>68</v>
      </c>
      <c r="H183" s="105" t="s">
        <v>121</v>
      </c>
      <c r="I183" s="105" t="s">
        <v>122</v>
      </c>
      <c r="J183" s="105" t="s">
        <v>123</v>
      </c>
      <c r="K183" s="105" t="s">
        <v>124</v>
      </c>
      <c r="L183" s="105" t="s">
        <v>125</v>
      </c>
      <c r="M183" s="105" t="s">
        <v>126</v>
      </c>
      <c r="N183" s="105" t="s">
        <v>127</v>
      </c>
      <c r="O183" s="105" t="s">
        <v>128</v>
      </c>
      <c r="P183" s="105" t="s">
        <v>129</v>
      </c>
      <c r="Q183" s="105" t="s">
        <v>130</v>
      </c>
      <c r="R183" s="105" t="s">
        <v>131</v>
      </c>
      <c r="S183" s="105" t="s">
        <v>132</v>
      </c>
      <c r="T183" s="105" t="s">
        <v>133</v>
      </c>
      <c r="U183" s="105" t="s">
        <v>134</v>
      </c>
      <c r="V183" s="105" t="s">
        <v>135</v>
      </c>
      <c r="W183" s="105" t="s">
        <v>90</v>
      </c>
      <c r="X183" s="105" t="s">
        <v>136</v>
      </c>
      <c r="Y183" s="105" t="s">
        <v>137</v>
      </c>
      <c r="Z183" s="105" t="s">
        <v>137</v>
      </c>
      <c r="AA183" s="105" t="s">
        <v>138</v>
      </c>
    </row>
    <row r="184" spans="1:27" x14ac:dyDescent="0.2">
      <c r="A184" s="105" t="s">
        <v>770</v>
      </c>
      <c r="C184" s="105" t="s">
        <v>773</v>
      </c>
      <c r="D184" s="105">
        <v>5082.5</v>
      </c>
      <c r="E184" s="105">
        <v>158.75</v>
      </c>
      <c r="F184" s="105">
        <v>166.5</v>
      </c>
      <c r="K184" s="105">
        <v>86</v>
      </c>
      <c r="L184" s="105">
        <v>86</v>
      </c>
      <c r="M184" s="105">
        <v>88</v>
      </c>
      <c r="N184" s="105">
        <v>88</v>
      </c>
      <c r="O184" s="105">
        <v>88</v>
      </c>
      <c r="P184" s="105">
        <v>94</v>
      </c>
      <c r="Q184" s="105">
        <v>96</v>
      </c>
      <c r="R184" s="105">
        <v>98</v>
      </c>
      <c r="S184" s="105">
        <v>102</v>
      </c>
      <c r="T184" s="105">
        <v>104</v>
      </c>
      <c r="U184" s="105">
        <v>113</v>
      </c>
      <c r="V184" s="105">
        <v>121</v>
      </c>
      <c r="W184" s="105">
        <v>147</v>
      </c>
      <c r="X184" s="105">
        <v>19608.400000000001</v>
      </c>
      <c r="Y184" s="105">
        <v>19818.400000000001</v>
      </c>
      <c r="Z184" s="105">
        <v>19818.400000000001</v>
      </c>
      <c r="AA184" s="105">
        <v>20028</v>
      </c>
    </row>
    <row r="185" spans="1:27" x14ac:dyDescent="0.2">
      <c r="C185" s="105" t="s">
        <v>774</v>
      </c>
      <c r="D185" s="105">
        <v>642.13518635502214</v>
      </c>
      <c r="E185" s="105">
        <v>20.082226438962682</v>
      </c>
      <c r="K185" s="105">
        <v>258</v>
      </c>
      <c r="L185" s="105">
        <v>270</v>
      </c>
      <c r="M185" s="105">
        <v>276</v>
      </c>
      <c r="N185" s="105">
        <v>291</v>
      </c>
      <c r="O185" s="105">
        <v>300</v>
      </c>
      <c r="P185" s="105">
        <v>306</v>
      </c>
      <c r="Q185" s="105">
        <v>312</v>
      </c>
      <c r="R185" s="105">
        <v>324</v>
      </c>
      <c r="S185" s="105">
        <v>333</v>
      </c>
      <c r="T185" s="105">
        <v>348</v>
      </c>
      <c r="U185" s="105">
        <v>378</v>
      </c>
      <c r="V185" s="105">
        <v>417</v>
      </c>
      <c r="W185" s="105">
        <v>558</v>
      </c>
      <c r="X185" s="105">
        <v>49021</v>
      </c>
      <c r="Y185" s="105">
        <v>148638</v>
      </c>
      <c r="Z185" s="105">
        <v>148638</v>
      </c>
      <c r="AA185" s="105">
        <v>151119</v>
      </c>
    </row>
    <row r="186" spans="1:27" x14ac:dyDescent="0.2">
      <c r="C186" s="105" t="s">
        <v>775</v>
      </c>
      <c r="D186" s="105" t="s">
        <v>424</v>
      </c>
      <c r="E186" s="105">
        <v>163</v>
      </c>
      <c r="F186" s="105" t="s">
        <v>221</v>
      </c>
      <c r="G186" s="105" t="s">
        <v>168</v>
      </c>
      <c r="H186" s="105" t="s">
        <v>426</v>
      </c>
      <c r="I186" s="105" t="s">
        <v>427</v>
      </c>
      <c r="J186" s="105" t="s">
        <v>428</v>
      </c>
      <c r="K186" s="105" t="s">
        <v>258</v>
      </c>
      <c r="L186" s="105" t="s">
        <v>117</v>
      </c>
      <c r="M186" s="105" t="s">
        <v>152</v>
      </c>
      <c r="N186" s="105" t="s">
        <v>429</v>
      </c>
      <c r="O186" s="105" t="s">
        <v>368</v>
      </c>
      <c r="P186" s="105" t="s">
        <v>132</v>
      </c>
      <c r="Q186" s="105" t="s">
        <v>169</v>
      </c>
      <c r="R186" s="105" t="s">
        <v>287</v>
      </c>
      <c r="S186" s="105" t="s">
        <v>153</v>
      </c>
      <c r="T186" s="105" t="s">
        <v>430</v>
      </c>
      <c r="U186" s="105" t="s">
        <v>232</v>
      </c>
      <c r="V186" s="105" t="s">
        <v>431</v>
      </c>
      <c r="W186" s="105" t="s">
        <v>197</v>
      </c>
      <c r="X186" s="105" t="s">
        <v>79</v>
      </c>
      <c r="Y186" s="105" t="s">
        <v>154</v>
      </c>
      <c r="Z186" s="105" t="s">
        <v>154</v>
      </c>
      <c r="AA186" s="105" t="s">
        <v>432</v>
      </c>
    </row>
    <row r="187" spans="1:27" x14ac:dyDescent="0.2">
      <c r="C187" s="105" t="s">
        <v>776</v>
      </c>
      <c r="D187" s="105" t="s">
        <v>424</v>
      </c>
      <c r="E187" s="105">
        <v>163</v>
      </c>
      <c r="F187" s="105" t="s">
        <v>221</v>
      </c>
      <c r="G187" s="105" t="s">
        <v>168</v>
      </c>
      <c r="H187" s="105" t="s">
        <v>426</v>
      </c>
      <c r="I187" s="105" t="s">
        <v>427</v>
      </c>
      <c r="J187" s="105" t="s">
        <v>428</v>
      </c>
      <c r="K187" s="105" t="s">
        <v>258</v>
      </c>
      <c r="L187" s="105" t="s">
        <v>117</v>
      </c>
      <c r="M187" s="105" t="s">
        <v>152</v>
      </c>
      <c r="N187" s="105" t="s">
        <v>429</v>
      </c>
      <c r="O187" s="105" t="s">
        <v>368</v>
      </c>
      <c r="P187" s="105" t="s">
        <v>132</v>
      </c>
      <c r="Q187" s="105" t="s">
        <v>169</v>
      </c>
      <c r="R187" s="105" t="s">
        <v>287</v>
      </c>
      <c r="S187" s="105" t="s">
        <v>153</v>
      </c>
      <c r="T187" s="105" t="s">
        <v>430</v>
      </c>
      <c r="U187" s="105" t="s">
        <v>232</v>
      </c>
      <c r="V187" s="105" t="s">
        <v>431</v>
      </c>
      <c r="W187" s="105" t="s">
        <v>197</v>
      </c>
      <c r="X187" s="105" t="s">
        <v>79</v>
      </c>
      <c r="Y187" s="105" t="s">
        <v>154</v>
      </c>
      <c r="Z187" s="105" t="s">
        <v>154</v>
      </c>
      <c r="AA187" s="105" t="s">
        <v>432</v>
      </c>
    </row>
    <row r="189" spans="1:27" x14ac:dyDescent="0.2">
      <c r="D189" s="105" t="s">
        <v>47</v>
      </c>
      <c r="E189" s="105" t="s">
        <v>48</v>
      </c>
      <c r="F189" s="105" t="s">
        <v>49</v>
      </c>
      <c r="G189" s="105" t="s">
        <v>50</v>
      </c>
      <c r="H189" s="105" t="s">
        <v>51</v>
      </c>
      <c r="I189" s="105" t="s">
        <v>52</v>
      </c>
      <c r="J189" s="105" t="s">
        <v>53</v>
      </c>
      <c r="K189" s="105">
        <v>0.01</v>
      </c>
      <c r="L189" s="105">
        <v>0.05</v>
      </c>
      <c r="M189" s="105">
        <v>0.1</v>
      </c>
      <c r="N189" s="105">
        <v>0.2</v>
      </c>
      <c r="O189" s="105">
        <v>0.3</v>
      </c>
      <c r="P189" s="105">
        <v>0.4</v>
      </c>
      <c r="Q189" s="105">
        <v>0.5</v>
      </c>
      <c r="R189" s="105">
        <v>0.6</v>
      </c>
      <c r="S189" s="105">
        <v>0.7</v>
      </c>
      <c r="T189" s="105">
        <v>0.8</v>
      </c>
      <c r="U189" s="105">
        <v>0.9</v>
      </c>
      <c r="V189" s="105">
        <v>0.95</v>
      </c>
      <c r="W189" s="105">
        <v>0.99</v>
      </c>
      <c r="X189" s="105">
        <v>0.995</v>
      </c>
      <c r="Y189" s="105">
        <v>0.999</v>
      </c>
      <c r="Z189" s="105">
        <v>0.99950000000000006</v>
      </c>
      <c r="AA189" s="105">
        <v>0.99990000000000001</v>
      </c>
    </row>
    <row r="190" spans="1:27" x14ac:dyDescent="0.2">
      <c r="B190" s="105" t="s">
        <v>777</v>
      </c>
      <c r="C190" s="105" t="s">
        <v>772</v>
      </c>
      <c r="D190" s="105" t="s">
        <v>590</v>
      </c>
      <c r="E190" s="105" t="s">
        <v>591</v>
      </c>
      <c r="F190" s="105" t="s">
        <v>592</v>
      </c>
      <c r="G190" s="105" t="s">
        <v>95</v>
      </c>
      <c r="H190" s="105" t="s">
        <v>593</v>
      </c>
      <c r="I190" s="105" t="s">
        <v>594</v>
      </c>
      <c r="J190" s="105" t="s">
        <v>595</v>
      </c>
      <c r="K190" s="105" t="s">
        <v>81</v>
      </c>
      <c r="L190" s="105" t="s">
        <v>68</v>
      </c>
      <c r="M190" s="105" t="s">
        <v>68</v>
      </c>
      <c r="N190" s="105" t="s">
        <v>68</v>
      </c>
      <c r="O190" s="105" t="s">
        <v>68</v>
      </c>
      <c r="P190" s="105" t="s">
        <v>244</v>
      </c>
      <c r="Q190" s="105" t="s">
        <v>233</v>
      </c>
      <c r="R190" s="105" t="s">
        <v>111</v>
      </c>
      <c r="S190" s="105" t="s">
        <v>125</v>
      </c>
      <c r="T190" s="105" t="s">
        <v>152</v>
      </c>
      <c r="U190" s="105" t="s">
        <v>342</v>
      </c>
      <c r="V190" s="105" t="s">
        <v>263</v>
      </c>
      <c r="W190" s="105" t="s">
        <v>322</v>
      </c>
      <c r="X190" s="105" t="s">
        <v>596</v>
      </c>
      <c r="Y190" s="105" t="s">
        <v>597</v>
      </c>
      <c r="Z190" s="105" t="s">
        <v>597</v>
      </c>
      <c r="AA190" s="105" t="s">
        <v>597</v>
      </c>
    </row>
    <row r="191" spans="1:27" x14ac:dyDescent="0.2">
      <c r="C191" s="105" t="s">
        <v>773</v>
      </c>
      <c r="D191" s="105">
        <v>6303.7225274725279</v>
      </c>
      <c r="E191" s="105">
        <v>197.5</v>
      </c>
    </row>
    <row r="192" spans="1:27" x14ac:dyDescent="0.2">
      <c r="C192" s="105" t="s">
        <v>774</v>
      </c>
      <c r="D192" s="105">
        <v>1509.5084589938654</v>
      </c>
      <c r="E192" s="105">
        <v>46.858528357579594</v>
      </c>
    </row>
    <row r="193" spans="2:27" x14ac:dyDescent="0.2">
      <c r="C193" s="105" t="s">
        <v>775</v>
      </c>
      <c r="D193" s="105" t="s">
        <v>439</v>
      </c>
      <c r="E193" s="105" t="s">
        <v>323</v>
      </c>
    </row>
    <row r="194" spans="2:27" x14ac:dyDescent="0.2">
      <c r="C194" s="105" t="s">
        <v>776</v>
      </c>
      <c r="D194" s="105" t="s">
        <v>439</v>
      </c>
      <c r="E194" s="105" t="s">
        <v>323</v>
      </c>
      <c r="F194" s="105" t="s">
        <v>91</v>
      </c>
      <c r="G194" s="105" t="s">
        <v>168</v>
      </c>
      <c r="H194" s="105" t="s">
        <v>440</v>
      </c>
      <c r="I194" s="105" t="s">
        <v>441</v>
      </c>
      <c r="J194" s="105" t="s">
        <v>442</v>
      </c>
      <c r="K194" s="105" t="s">
        <v>258</v>
      </c>
      <c r="L194" s="105" t="s">
        <v>117</v>
      </c>
      <c r="M194" s="105" t="s">
        <v>152</v>
      </c>
      <c r="N194" s="105" t="s">
        <v>78</v>
      </c>
      <c r="O194" s="105" t="s">
        <v>429</v>
      </c>
      <c r="P194" s="105" t="s">
        <v>342</v>
      </c>
      <c r="Q194" s="105" t="s">
        <v>131</v>
      </c>
      <c r="R194" s="105" t="s">
        <v>132</v>
      </c>
      <c r="S194" s="105" t="s">
        <v>195</v>
      </c>
      <c r="T194" s="105" t="s">
        <v>183</v>
      </c>
      <c r="U194" s="105" t="s">
        <v>388</v>
      </c>
      <c r="V194" s="105" t="s">
        <v>401</v>
      </c>
      <c r="W194" s="105" t="s">
        <v>417</v>
      </c>
      <c r="X194" s="105" t="s">
        <v>79</v>
      </c>
      <c r="Y194" s="105" t="s">
        <v>154</v>
      </c>
      <c r="Z194" s="105" t="s">
        <v>154</v>
      </c>
      <c r="AA194" s="105" t="s">
        <v>443</v>
      </c>
    </row>
    <row r="196" spans="2:27" x14ac:dyDescent="0.2">
      <c r="D196" s="105" t="s">
        <v>47</v>
      </c>
      <c r="E196" s="105" t="s">
        <v>48</v>
      </c>
      <c r="F196" s="105" t="s">
        <v>49</v>
      </c>
      <c r="G196" s="105" t="s">
        <v>50</v>
      </c>
      <c r="H196" s="105" t="s">
        <v>51</v>
      </c>
      <c r="I196" s="105" t="s">
        <v>52</v>
      </c>
      <c r="J196" s="105" t="s">
        <v>53</v>
      </c>
      <c r="K196" s="105">
        <v>0.01</v>
      </c>
      <c r="L196" s="105">
        <v>0.05</v>
      </c>
      <c r="M196" s="105">
        <v>0.1</v>
      </c>
      <c r="N196" s="105">
        <v>0.2</v>
      </c>
      <c r="O196" s="105">
        <v>0.3</v>
      </c>
      <c r="P196" s="105">
        <v>0.4</v>
      </c>
      <c r="Q196" s="105">
        <v>0.5</v>
      </c>
      <c r="R196" s="105">
        <v>0.6</v>
      </c>
      <c r="S196" s="105">
        <v>0.7</v>
      </c>
      <c r="T196" s="105">
        <v>0.8</v>
      </c>
      <c r="U196" s="105">
        <v>0.9</v>
      </c>
      <c r="V196" s="105">
        <v>0.95</v>
      </c>
      <c r="W196" s="105">
        <v>0.99</v>
      </c>
      <c r="X196" s="105">
        <v>0.995</v>
      </c>
      <c r="Y196" s="105">
        <v>0.999</v>
      </c>
      <c r="Z196" s="105">
        <v>0.99950000000000006</v>
      </c>
      <c r="AA196" s="105">
        <v>0.99990000000000001</v>
      </c>
    </row>
    <row r="197" spans="2:27" x14ac:dyDescent="0.2">
      <c r="B197" s="105" t="s">
        <v>778</v>
      </c>
      <c r="C197" s="105" t="s">
        <v>772</v>
      </c>
      <c r="D197" s="105">
        <v>2688</v>
      </c>
      <c r="E197" s="105">
        <v>84</v>
      </c>
    </row>
    <row r="198" spans="2:27" x14ac:dyDescent="0.2">
      <c r="C198" s="105" t="s">
        <v>773</v>
      </c>
      <c r="D198" s="105">
        <v>6723.3070866141734</v>
      </c>
      <c r="E198" s="105">
        <v>210</v>
      </c>
    </row>
    <row r="199" spans="2:27" x14ac:dyDescent="0.2">
      <c r="C199" s="105" t="s">
        <v>774</v>
      </c>
      <c r="D199" s="105">
        <v>2231.2002171096865</v>
      </c>
      <c r="E199" s="105">
        <v>69.515399211793905</v>
      </c>
    </row>
    <row r="200" spans="2:27" x14ac:dyDescent="0.2">
      <c r="C200" s="105" t="s">
        <v>775</v>
      </c>
    </row>
    <row r="201" spans="2:27" x14ac:dyDescent="0.2">
      <c r="C201" s="105" t="s">
        <v>776</v>
      </c>
      <c r="D201" s="105" t="s">
        <v>433</v>
      </c>
      <c r="E201" s="105" t="s">
        <v>401</v>
      </c>
      <c r="F201" s="105" t="s">
        <v>434</v>
      </c>
      <c r="G201" s="105" t="s">
        <v>218</v>
      </c>
      <c r="H201" s="105" t="s">
        <v>435</v>
      </c>
      <c r="I201" s="105" t="s">
        <v>436</v>
      </c>
      <c r="J201" s="105" t="s">
        <v>437</v>
      </c>
      <c r="K201" s="105" t="s">
        <v>258</v>
      </c>
      <c r="L201" s="105" t="s">
        <v>237</v>
      </c>
      <c r="M201" s="105" t="s">
        <v>182</v>
      </c>
      <c r="N201" s="105" t="s">
        <v>227</v>
      </c>
      <c r="O201" s="105" t="s">
        <v>78</v>
      </c>
      <c r="P201" s="105" t="s">
        <v>128</v>
      </c>
      <c r="Q201" s="105" t="s">
        <v>429</v>
      </c>
      <c r="R201" s="105" t="s">
        <v>129</v>
      </c>
      <c r="S201" s="105" t="s">
        <v>130</v>
      </c>
      <c r="T201" s="105" t="s">
        <v>238</v>
      </c>
      <c r="U201" s="105" t="s">
        <v>134</v>
      </c>
      <c r="V201" s="105" t="s">
        <v>438</v>
      </c>
      <c r="W201" s="105" t="s">
        <v>171</v>
      </c>
      <c r="X201" s="105" t="s">
        <v>79</v>
      </c>
      <c r="Y201" s="105" t="s">
        <v>154</v>
      </c>
      <c r="Z201" s="105" t="s">
        <v>154</v>
      </c>
      <c r="AA201" s="105" t="s">
        <v>346</v>
      </c>
    </row>
    <row r="203" spans="2:27" x14ac:dyDescent="0.2">
      <c r="D203" s="105" t="s">
        <v>47</v>
      </c>
      <c r="E203" s="105" t="s">
        <v>48</v>
      </c>
      <c r="F203" s="105" t="s">
        <v>49</v>
      </c>
      <c r="G203" s="105" t="s">
        <v>50</v>
      </c>
      <c r="H203" s="105" t="s">
        <v>51</v>
      </c>
      <c r="I203" s="105" t="s">
        <v>52</v>
      </c>
      <c r="J203" s="105" t="s">
        <v>53</v>
      </c>
      <c r="K203" s="105">
        <v>0.01</v>
      </c>
      <c r="L203" s="105">
        <v>0.05</v>
      </c>
      <c r="M203" s="105">
        <v>0.1</v>
      </c>
      <c r="N203" s="105">
        <v>0.2</v>
      </c>
      <c r="O203" s="105">
        <v>0.3</v>
      </c>
      <c r="P203" s="105">
        <v>0.4</v>
      </c>
      <c r="Q203" s="105">
        <v>0.5</v>
      </c>
      <c r="R203" s="105">
        <v>0.6</v>
      </c>
      <c r="S203" s="105">
        <v>0.7</v>
      </c>
      <c r="T203" s="105">
        <v>0.8</v>
      </c>
      <c r="U203" s="105">
        <v>0.9</v>
      </c>
      <c r="V203" s="105">
        <v>0.95</v>
      </c>
      <c r="W203" s="105">
        <v>0.99</v>
      </c>
      <c r="X203" s="105">
        <v>0.995</v>
      </c>
      <c r="Y203" s="105">
        <v>0.999</v>
      </c>
      <c r="Z203" s="105">
        <v>0.99950000000000006</v>
      </c>
      <c r="AA203" s="105">
        <v>0.99990000000000001</v>
      </c>
    </row>
    <row r="204" spans="2:27" x14ac:dyDescent="0.2">
      <c r="B204" s="105" t="s">
        <v>779</v>
      </c>
      <c r="C204" s="105" t="s">
        <v>772</v>
      </c>
      <c r="D204" s="105">
        <v>2690</v>
      </c>
      <c r="E204" s="105">
        <v>84.1</v>
      </c>
    </row>
    <row r="205" spans="2:27" x14ac:dyDescent="0.2">
      <c r="C205" s="105" t="s">
        <v>773</v>
      </c>
      <c r="D205" s="105">
        <v>7171.5275590551182</v>
      </c>
      <c r="E205" s="105">
        <v>224</v>
      </c>
    </row>
    <row r="206" spans="2:27" x14ac:dyDescent="0.2">
      <c r="C206" s="105" t="s">
        <v>774</v>
      </c>
      <c r="D206" s="105">
        <v>2910.5306837684593</v>
      </c>
      <c r="E206" s="105">
        <v>90.627483416857231</v>
      </c>
    </row>
    <row r="207" spans="2:27" x14ac:dyDescent="0.2">
      <c r="C207" s="105" t="s">
        <v>775</v>
      </c>
      <c r="D207" s="105" t="s">
        <v>444</v>
      </c>
      <c r="E207" s="105" t="s">
        <v>410</v>
      </c>
    </row>
    <row r="208" spans="2:27" x14ac:dyDescent="0.2">
      <c r="C208" s="105" t="s">
        <v>776</v>
      </c>
      <c r="D208" s="105" t="s">
        <v>444</v>
      </c>
      <c r="E208" s="105" t="s">
        <v>410</v>
      </c>
      <c r="F208" s="105" t="s">
        <v>272</v>
      </c>
      <c r="G208" s="105" t="s">
        <v>168</v>
      </c>
      <c r="H208" s="105" t="s">
        <v>445</v>
      </c>
      <c r="I208" s="105" t="s">
        <v>446</v>
      </c>
      <c r="J208" s="105" t="s">
        <v>447</v>
      </c>
      <c r="K208" s="105" t="s">
        <v>258</v>
      </c>
      <c r="L208" s="105" t="s">
        <v>125</v>
      </c>
      <c r="M208" s="105" t="s">
        <v>182</v>
      </c>
      <c r="N208" s="105" t="s">
        <v>448</v>
      </c>
      <c r="O208" s="105" t="s">
        <v>129</v>
      </c>
      <c r="P208" s="105" t="s">
        <v>368</v>
      </c>
      <c r="Q208" s="105" t="s">
        <v>132</v>
      </c>
      <c r="R208" s="105" t="s">
        <v>133</v>
      </c>
      <c r="S208" s="105" t="s">
        <v>141</v>
      </c>
      <c r="T208" s="105" t="s">
        <v>438</v>
      </c>
      <c r="U208" s="105" t="s">
        <v>91</v>
      </c>
      <c r="V208" s="105" t="s">
        <v>449</v>
      </c>
      <c r="W208" s="105" t="s">
        <v>92</v>
      </c>
      <c r="X208" s="105" t="s">
        <v>80</v>
      </c>
      <c r="Y208" s="105" t="s">
        <v>154</v>
      </c>
      <c r="Z208" s="105" t="s">
        <v>450</v>
      </c>
      <c r="AA208" s="105" t="s">
        <v>451</v>
      </c>
    </row>
    <row r="211" spans="2:27" x14ac:dyDescent="0.2">
      <c r="D211" s="105" t="s">
        <v>47</v>
      </c>
      <c r="E211" s="105" t="s">
        <v>48</v>
      </c>
      <c r="F211" s="105" t="s">
        <v>49</v>
      </c>
      <c r="G211" s="105" t="s">
        <v>50</v>
      </c>
      <c r="H211" s="105" t="s">
        <v>51</v>
      </c>
      <c r="I211" s="105" t="s">
        <v>52</v>
      </c>
      <c r="J211" s="105" t="s">
        <v>53</v>
      </c>
      <c r="K211" s="105">
        <v>0.01</v>
      </c>
      <c r="L211" s="105">
        <v>0.05</v>
      </c>
      <c r="M211" s="105">
        <v>0.1</v>
      </c>
      <c r="N211" s="105">
        <v>0.2</v>
      </c>
      <c r="O211" s="105">
        <v>0.3</v>
      </c>
      <c r="P211" s="105">
        <v>0.4</v>
      </c>
      <c r="Q211" s="105">
        <v>0.5</v>
      </c>
      <c r="R211" s="105">
        <v>0.6</v>
      </c>
      <c r="S211" s="105">
        <v>0.7</v>
      </c>
      <c r="T211" s="105">
        <v>0.8</v>
      </c>
      <c r="U211" s="105">
        <v>0.9</v>
      </c>
      <c r="V211" s="105">
        <v>0.95</v>
      </c>
      <c r="W211" s="105">
        <v>0.99</v>
      </c>
      <c r="X211" s="105">
        <v>0.995</v>
      </c>
      <c r="Y211" s="105">
        <v>0.999</v>
      </c>
      <c r="Z211" s="105">
        <v>0.99950000000000006</v>
      </c>
      <c r="AA211" s="105">
        <v>0.99990000000000001</v>
      </c>
    </row>
    <row r="212" spans="2:27" x14ac:dyDescent="0.2">
      <c r="B212" s="105" t="s">
        <v>795</v>
      </c>
      <c r="C212" s="105" t="s">
        <v>772</v>
      </c>
      <c r="D212" s="105">
        <v>28.2</v>
      </c>
      <c r="E212" s="105">
        <v>883</v>
      </c>
      <c r="F212" s="105">
        <v>926</v>
      </c>
      <c r="G212" s="105" t="s">
        <v>82</v>
      </c>
      <c r="H212" s="105" t="s">
        <v>83</v>
      </c>
      <c r="I212" s="105" t="s">
        <v>84</v>
      </c>
      <c r="J212" s="105" t="s">
        <v>85</v>
      </c>
      <c r="K212" s="105" t="s">
        <v>68</v>
      </c>
      <c r="L212" s="105" t="s">
        <v>86</v>
      </c>
      <c r="M212" s="105" t="s">
        <v>86</v>
      </c>
      <c r="N212" s="105" t="s">
        <v>87</v>
      </c>
      <c r="O212" s="105" t="s">
        <v>87</v>
      </c>
      <c r="P212" s="105" t="s">
        <v>88</v>
      </c>
      <c r="Q212" s="105" t="s">
        <v>89</v>
      </c>
      <c r="R212" s="105" t="s">
        <v>242</v>
      </c>
      <c r="S212" s="105" t="s">
        <v>243</v>
      </c>
      <c r="T212" s="105" t="s">
        <v>252</v>
      </c>
      <c r="U212" s="105" t="s">
        <v>254</v>
      </c>
      <c r="V212" s="105" t="s">
        <v>75</v>
      </c>
      <c r="W212" s="105" t="s">
        <v>108</v>
      </c>
      <c r="X212" s="105" t="s">
        <v>111</v>
      </c>
      <c r="Y212" s="105" t="s">
        <v>168</v>
      </c>
      <c r="Z212" s="105" t="s">
        <v>227</v>
      </c>
      <c r="AA212" s="105" t="s">
        <v>425</v>
      </c>
    </row>
    <row r="213" spans="2:27" x14ac:dyDescent="0.2">
      <c r="C213" s="105" t="s">
        <v>773</v>
      </c>
      <c r="D213" s="105">
        <v>32.621760000000002</v>
      </c>
      <c r="E213" s="105">
        <v>1021.4544000000001</v>
      </c>
      <c r="K213" s="105">
        <v>24.044074436826641</v>
      </c>
      <c r="L213" s="105">
        <v>24.044074436826641</v>
      </c>
      <c r="M213" s="105">
        <v>25.189030362389815</v>
      </c>
      <c r="N213" s="105">
        <v>25.189030362389815</v>
      </c>
      <c r="O213" s="105">
        <v>26.333986287952989</v>
      </c>
      <c r="P213" s="105">
        <v>26.333986287952989</v>
      </c>
      <c r="Q213" s="105">
        <v>27.478942213516159</v>
      </c>
      <c r="R213" s="105">
        <v>29.768854064642507</v>
      </c>
      <c r="S213" s="105">
        <v>33.203721841332026</v>
      </c>
      <c r="T213" s="105">
        <v>34.3486777668952</v>
      </c>
      <c r="U213" s="105">
        <v>35.493633692458374</v>
      </c>
      <c r="V213" s="105">
        <v>42.363369245837411</v>
      </c>
      <c r="W213" s="105">
        <v>52.667972575905978</v>
      </c>
      <c r="X213" s="105">
        <v>60.682664054848189</v>
      </c>
      <c r="Y213" s="105">
        <v>72.132223310479915</v>
      </c>
      <c r="Z213" s="105">
        <v>81.291870714985308</v>
      </c>
      <c r="AA213" s="105">
        <v>85</v>
      </c>
    </row>
    <row r="214" spans="2:27" x14ac:dyDescent="0.2">
      <c r="C214" s="105" t="s">
        <v>774</v>
      </c>
      <c r="D214" s="105">
        <v>8.09</v>
      </c>
      <c r="E214" s="105">
        <v>258</v>
      </c>
      <c r="K214" s="105" t="s">
        <v>268</v>
      </c>
      <c r="L214" s="105" t="s">
        <v>96</v>
      </c>
      <c r="M214" s="105" t="s">
        <v>98</v>
      </c>
      <c r="N214" s="105" t="s">
        <v>81</v>
      </c>
      <c r="O214" s="105" t="s">
        <v>81</v>
      </c>
      <c r="P214" s="105" t="s">
        <v>68</v>
      </c>
      <c r="Q214" s="105" t="s">
        <v>87</v>
      </c>
      <c r="R214" s="105" t="s">
        <v>242</v>
      </c>
      <c r="S214" s="105" t="s">
        <v>254</v>
      </c>
      <c r="T214" s="105" t="s">
        <v>217</v>
      </c>
      <c r="U214" s="105">
        <v>670.99224806201551</v>
      </c>
      <c r="V214" s="105">
        <v>714.79069767441865</v>
      </c>
      <c r="W214" s="105">
        <v>728.80620155038764</v>
      </c>
      <c r="X214" s="105">
        <v>757.71317829457359</v>
      </c>
      <c r="Y214" s="105">
        <v>1242.1240310077519</v>
      </c>
      <c r="Z214" s="105">
        <v>2052.3953488372094</v>
      </c>
      <c r="AA214" s="105">
        <v>3659.7984496124</v>
      </c>
    </row>
    <row r="215" spans="2:27" x14ac:dyDescent="0.2">
      <c r="C215" s="105" t="s">
        <v>775</v>
      </c>
      <c r="D215" s="105">
        <v>22.3</v>
      </c>
      <c r="E215" s="105">
        <v>702.88217999999995</v>
      </c>
      <c r="F215" s="105" t="s">
        <v>750</v>
      </c>
      <c r="G215" s="105" t="s">
        <v>81</v>
      </c>
      <c r="H215" s="105" t="s">
        <v>751</v>
      </c>
      <c r="I215" s="105" t="s">
        <v>752</v>
      </c>
      <c r="J215" s="105" t="s">
        <v>753</v>
      </c>
      <c r="K215" s="105" t="s">
        <v>87</v>
      </c>
      <c r="L215" s="105" t="s">
        <v>88</v>
      </c>
      <c r="M215" s="105" t="s">
        <v>89</v>
      </c>
      <c r="N215" s="105" t="s">
        <v>242</v>
      </c>
      <c r="O215" s="105" t="s">
        <v>243</v>
      </c>
      <c r="P215" s="105" t="s">
        <v>243</v>
      </c>
      <c r="Q215" s="105" t="s">
        <v>252</v>
      </c>
      <c r="R215" s="105" t="s">
        <v>244</v>
      </c>
      <c r="S215" s="105" t="s">
        <v>244</v>
      </c>
      <c r="T215" s="105" t="s">
        <v>69</v>
      </c>
      <c r="U215" s="105" t="s">
        <v>75</v>
      </c>
      <c r="V215" s="105" t="s">
        <v>106</v>
      </c>
      <c r="W215" s="105" t="s">
        <v>547</v>
      </c>
      <c r="X215" s="105" t="s">
        <v>651</v>
      </c>
      <c r="Y215" s="105" t="s">
        <v>382</v>
      </c>
      <c r="Z215" s="105" t="s">
        <v>726</v>
      </c>
      <c r="AA215" s="105" t="s">
        <v>754</v>
      </c>
    </row>
    <row r="216" spans="2:27" x14ac:dyDescent="0.2">
      <c r="C216" s="105" t="s">
        <v>776</v>
      </c>
      <c r="D216" s="105">
        <v>31.6</v>
      </c>
      <c r="E216" s="105">
        <v>987</v>
      </c>
      <c r="F216" s="105">
        <v>1035</v>
      </c>
      <c r="G216" s="105">
        <v>17</v>
      </c>
      <c r="H216" s="105">
        <v>149</v>
      </c>
      <c r="I216" s="105">
        <v>25.49</v>
      </c>
      <c r="J216" s="105">
        <v>19</v>
      </c>
      <c r="K216" s="105">
        <v>21</v>
      </c>
      <c r="L216" s="105">
        <v>22</v>
      </c>
      <c r="M216" s="105">
        <v>23</v>
      </c>
      <c r="N216" s="105">
        <v>24</v>
      </c>
      <c r="O216" s="105">
        <v>24</v>
      </c>
      <c r="P216" s="105">
        <v>25</v>
      </c>
      <c r="Q216" s="105">
        <v>25</v>
      </c>
      <c r="R216" s="105">
        <v>25</v>
      </c>
      <c r="S216" s="105">
        <v>26</v>
      </c>
      <c r="T216" s="105">
        <v>26</v>
      </c>
      <c r="U216" s="105">
        <v>28</v>
      </c>
      <c r="V216" s="105">
        <v>33</v>
      </c>
      <c r="W216" s="105">
        <v>45</v>
      </c>
      <c r="X216" s="105">
        <v>55</v>
      </c>
      <c r="Y216" s="105">
        <v>66</v>
      </c>
      <c r="Z216" s="105">
        <v>72</v>
      </c>
      <c r="AA216" s="105">
        <v>93</v>
      </c>
    </row>
    <row r="218" spans="2:27" x14ac:dyDescent="0.2">
      <c r="D218" s="105" t="s">
        <v>47</v>
      </c>
      <c r="E218" s="105" t="s">
        <v>48</v>
      </c>
      <c r="F218" s="105" t="s">
        <v>49</v>
      </c>
      <c r="G218" s="105" t="s">
        <v>50</v>
      </c>
      <c r="H218" s="105" t="s">
        <v>51</v>
      </c>
      <c r="I218" s="105" t="s">
        <v>52</v>
      </c>
      <c r="J218" s="105" t="s">
        <v>53</v>
      </c>
      <c r="K218" s="105">
        <v>0.01</v>
      </c>
      <c r="L218" s="105">
        <v>0.05</v>
      </c>
      <c r="M218" s="105">
        <v>0.1</v>
      </c>
      <c r="N218" s="105">
        <v>0.2</v>
      </c>
      <c r="O218" s="105">
        <v>0.3</v>
      </c>
      <c r="P218" s="105">
        <v>0.4</v>
      </c>
      <c r="Q218" s="105">
        <v>0.5</v>
      </c>
      <c r="R218" s="105">
        <v>0.6</v>
      </c>
      <c r="S218" s="105">
        <v>0.7</v>
      </c>
      <c r="T218" s="105">
        <v>0.8</v>
      </c>
      <c r="U218" s="105">
        <v>0.9</v>
      </c>
      <c r="V218" s="105">
        <v>0.95</v>
      </c>
      <c r="W218" s="105">
        <v>0.99</v>
      </c>
      <c r="X218" s="105">
        <v>0.995</v>
      </c>
      <c r="Y218" s="105">
        <v>0.999</v>
      </c>
      <c r="Z218" s="105">
        <v>0.99950000000000006</v>
      </c>
      <c r="AA218" s="105">
        <v>0.99990000000000001</v>
      </c>
    </row>
    <row r="219" spans="2:27" x14ac:dyDescent="0.2">
      <c r="B219" s="105" t="s">
        <v>796</v>
      </c>
      <c r="C219" s="105" t="s">
        <v>772</v>
      </c>
      <c r="D219" s="105">
        <v>37.4</v>
      </c>
      <c r="E219" s="105" t="s">
        <v>598</v>
      </c>
      <c r="F219" s="105" t="s">
        <v>599</v>
      </c>
      <c r="G219" s="105" t="s">
        <v>452</v>
      </c>
      <c r="H219" s="105" t="s">
        <v>600</v>
      </c>
      <c r="I219" s="105" t="s">
        <v>601</v>
      </c>
      <c r="K219" s="105" t="s">
        <v>95</v>
      </c>
      <c r="L219" s="105" t="s">
        <v>95</v>
      </c>
      <c r="M219" s="105" t="s">
        <v>251</v>
      </c>
      <c r="N219" s="105" t="s">
        <v>251</v>
      </c>
      <c r="O219" s="105" t="s">
        <v>96</v>
      </c>
      <c r="P219" s="105" t="s">
        <v>96</v>
      </c>
      <c r="Q219" s="105" t="s">
        <v>97</v>
      </c>
      <c r="R219" s="105" t="s">
        <v>82</v>
      </c>
      <c r="S219" s="105" t="s">
        <v>68</v>
      </c>
      <c r="T219" s="105" t="s">
        <v>86</v>
      </c>
      <c r="U219" s="105" t="s">
        <v>87</v>
      </c>
      <c r="V219" s="105" t="s">
        <v>244</v>
      </c>
      <c r="W219" s="105" t="s">
        <v>74</v>
      </c>
      <c r="X219" s="105" t="s">
        <v>233</v>
      </c>
      <c r="Y219" s="105" t="s">
        <v>110</v>
      </c>
      <c r="Z219" s="105" t="s">
        <v>207</v>
      </c>
      <c r="AA219" s="105" t="s">
        <v>425</v>
      </c>
    </row>
    <row r="220" spans="2:27" x14ac:dyDescent="0.2">
      <c r="C220" s="105" t="s">
        <v>773</v>
      </c>
      <c r="D220" s="105">
        <v>43.310434344122662</v>
      </c>
      <c r="E220" s="105">
        <v>1352.2992000000002</v>
      </c>
    </row>
    <row r="221" spans="2:27" x14ac:dyDescent="0.2">
      <c r="C221" s="105" t="s">
        <v>774</v>
      </c>
      <c r="D221" s="105">
        <v>20.629499999999997</v>
      </c>
      <c r="E221" s="105">
        <v>673.38</v>
      </c>
    </row>
    <row r="222" spans="2:27" x14ac:dyDescent="0.2">
      <c r="C222" s="105" t="s">
        <v>775</v>
      </c>
      <c r="D222" s="105">
        <v>26.776464000000001</v>
      </c>
      <c r="E222" s="105">
        <v>836.05236000000002</v>
      </c>
    </row>
    <row r="223" spans="2:27" x14ac:dyDescent="0.2">
      <c r="C223" s="105" t="s">
        <v>776</v>
      </c>
      <c r="D223" s="105">
        <v>37.6</v>
      </c>
      <c r="E223" s="105">
        <v>1174</v>
      </c>
      <c r="F223" s="105">
        <v>1231</v>
      </c>
      <c r="G223" s="105" t="s">
        <v>452</v>
      </c>
      <c r="H223" s="105" t="s">
        <v>453</v>
      </c>
      <c r="I223" s="105" t="s">
        <v>454</v>
      </c>
      <c r="J223" s="105" t="s">
        <v>455</v>
      </c>
      <c r="K223" s="105" t="s">
        <v>251</v>
      </c>
      <c r="L223" s="105" t="s">
        <v>251</v>
      </c>
      <c r="M223" s="105" t="s">
        <v>96</v>
      </c>
      <c r="N223" s="105" t="s">
        <v>81</v>
      </c>
      <c r="O223" s="105" t="s">
        <v>87</v>
      </c>
      <c r="P223" s="105" t="s">
        <v>87</v>
      </c>
      <c r="Q223" s="105" t="s">
        <v>88</v>
      </c>
      <c r="R223" s="105" t="s">
        <v>88</v>
      </c>
      <c r="S223" s="105" t="s">
        <v>89</v>
      </c>
      <c r="T223" s="105" t="s">
        <v>242</v>
      </c>
      <c r="U223" s="105" t="s">
        <v>243</v>
      </c>
      <c r="V223" s="105" t="s">
        <v>456</v>
      </c>
      <c r="W223" s="105" t="s">
        <v>233</v>
      </c>
      <c r="X223" s="105" t="s">
        <v>109</v>
      </c>
      <c r="Y223" s="105" t="s">
        <v>165</v>
      </c>
      <c r="Z223" s="105" t="s">
        <v>245</v>
      </c>
      <c r="AA223" s="105" t="s">
        <v>352</v>
      </c>
    </row>
    <row r="225" spans="2:27" x14ac:dyDescent="0.2">
      <c r="D225" s="105" t="s">
        <v>47</v>
      </c>
      <c r="E225" s="105" t="s">
        <v>48</v>
      </c>
      <c r="F225" s="105" t="s">
        <v>49</v>
      </c>
      <c r="G225" s="105" t="s">
        <v>50</v>
      </c>
      <c r="H225" s="105" t="s">
        <v>51</v>
      </c>
      <c r="I225" s="105" t="s">
        <v>52</v>
      </c>
      <c r="J225" s="105" t="s">
        <v>53</v>
      </c>
      <c r="K225" s="105">
        <v>0.01</v>
      </c>
      <c r="L225" s="105">
        <v>0.05</v>
      </c>
      <c r="M225" s="105">
        <v>0.1</v>
      </c>
      <c r="N225" s="105">
        <v>0.2</v>
      </c>
      <c r="O225" s="105">
        <v>0.3</v>
      </c>
      <c r="P225" s="105">
        <v>0.4</v>
      </c>
      <c r="Q225" s="105">
        <v>0.5</v>
      </c>
      <c r="R225" s="105">
        <v>0.6</v>
      </c>
      <c r="S225" s="105">
        <v>0.7</v>
      </c>
      <c r="T225" s="105">
        <v>0.8</v>
      </c>
      <c r="U225" s="105">
        <v>0.9</v>
      </c>
      <c r="V225" s="105">
        <v>0.95</v>
      </c>
      <c r="W225" s="105">
        <v>0.99</v>
      </c>
      <c r="X225" s="105">
        <v>0.995</v>
      </c>
      <c r="Y225" s="105">
        <v>0.999</v>
      </c>
      <c r="Z225" s="105">
        <v>0.99950000000000006</v>
      </c>
      <c r="AA225" s="105">
        <v>0.99990000000000001</v>
      </c>
    </row>
    <row r="226" spans="2:27" x14ac:dyDescent="0.2">
      <c r="B226" s="105" t="s">
        <v>797</v>
      </c>
      <c r="C226" s="105" t="s">
        <v>772</v>
      </c>
      <c r="D226" s="105">
        <v>39.9</v>
      </c>
      <c r="E226" s="105" t="s">
        <v>602</v>
      </c>
      <c r="F226" s="105" t="s">
        <v>603</v>
      </c>
      <c r="G226" s="105" t="s">
        <v>265</v>
      </c>
      <c r="H226" s="105" t="s">
        <v>604</v>
      </c>
      <c r="I226" s="105" t="s">
        <v>605</v>
      </c>
      <c r="J226" s="105" t="s">
        <v>606</v>
      </c>
      <c r="K226" s="105" t="s">
        <v>251</v>
      </c>
      <c r="L226" s="105" t="s">
        <v>98</v>
      </c>
      <c r="M226" s="105" t="s">
        <v>241</v>
      </c>
      <c r="N226" s="105" t="s">
        <v>68</v>
      </c>
      <c r="O226" s="105" t="s">
        <v>87</v>
      </c>
      <c r="P226" s="105" t="s">
        <v>89</v>
      </c>
      <c r="Q226" s="105" t="s">
        <v>244</v>
      </c>
      <c r="R226" s="105" t="s">
        <v>456</v>
      </c>
      <c r="S226" s="105" t="s">
        <v>72</v>
      </c>
      <c r="T226" s="105" t="s">
        <v>73</v>
      </c>
      <c r="U226" s="105" t="s">
        <v>177</v>
      </c>
      <c r="V226" s="105" t="s">
        <v>76</v>
      </c>
      <c r="W226" s="105" t="s">
        <v>194</v>
      </c>
      <c r="X226" s="105" t="s">
        <v>147</v>
      </c>
      <c r="Y226" s="105" t="s">
        <v>124</v>
      </c>
      <c r="Z226" s="105" t="s">
        <v>237</v>
      </c>
      <c r="AA226" s="105" t="s">
        <v>498</v>
      </c>
    </row>
    <row r="227" spans="2:27" x14ac:dyDescent="0.2">
      <c r="C227" s="105" t="s">
        <v>773</v>
      </c>
      <c r="D227" s="105">
        <v>49.054648996960495</v>
      </c>
      <c r="E227" s="105">
        <v>1534.7688705167175</v>
      </c>
    </row>
    <row r="228" spans="2:27" x14ac:dyDescent="0.2">
      <c r="C228" s="105" t="s">
        <v>774</v>
      </c>
      <c r="D228" s="105">
        <v>30.914317</v>
      </c>
      <c r="E228" s="105">
        <v>1001.04</v>
      </c>
    </row>
    <row r="229" spans="2:27" x14ac:dyDescent="0.2">
      <c r="C229" s="105" t="s">
        <v>775</v>
      </c>
      <c r="D229" s="105">
        <v>33.755436000000003</v>
      </c>
      <c r="E229" s="105">
        <v>1056.1036200000001</v>
      </c>
    </row>
    <row r="230" spans="2:27" x14ac:dyDescent="0.2">
      <c r="C230" s="105" t="s">
        <v>776</v>
      </c>
      <c r="D230" s="105">
        <v>47.4</v>
      </c>
      <c r="E230" s="105" t="s">
        <v>457</v>
      </c>
      <c r="F230" s="105" t="s">
        <v>458</v>
      </c>
      <c r="G230" s="105" t="s">
        <v>459</v>
      </c>
      <c r="H230" s="105" t="s">
        <v>460</v>
      </c>
      <c r="I230" s="105" t="s">
        <v>461</v>
      </c>
      <c r="J230" s="105" t="s">
        <v>462</v>
      </c>
      <c r="K230" s="105" t="s">
        <v>95</v>
      </c>
      <c r="L230" s="105" t="s">
        <v>98</v>
      </c>
      <c r="M230" s="105" t="s">
        <v>81</v>
      </c>
      <c r="N230" s="105" t="s">
        <v>87</v>
      </c>
      <c r="O230" s="105" t="s">
        <v>243</v>
      </c>
      <c r="P230" s="105" t="s">
        <v>69</v>
      </c>
      <c r="Q230" s="105" t="s">
        <v>456</v>
      </c>
      <c r="R230" s="105" t="s">
        <v>75</v>
      </c>
      <c r="S230" s="105" t="s">
        <v>177</v>
      </c>
      <c r="T230" s="105" t="s">
        <v>110</v>
      </c>
      <c r="U230" s="105" t="s">
        <v>129</v>
      </c>
      <c r="V230" s="105" t="s">
        <v>239</v>
      </c>
      <c r="W230" s="105" t="s">
        <v>463</v>
      </c>
      <c r="X230" s="105" t="s">
        <v>99</v>
      </c>
      <c r="Y230" s="105" t="s">
        <v>464</v>
      </c>
      <c r="Z230" s="105" t="s">
        <v>465</v>
      </c>
      <c r="AA230" s="105" t="s">
        <v>466</v>
      </c>
    </row>
    <row r="232" spans="2:27" x14ac:dyDescent="0.2">
      <c r="D232" s="105" t="s">
        <v>47</v>
      </c>
      <c r="E232" s="105" t="s">
        <v>48</v>
      </c>
      <c r="F232" s="105" t="s">
        <v>49</v>
      </c>
      <c r="G232" s="105" t="s">
        <v>50</v>
      </c>
      <c r="H232" s="105" t="s">
        <v>51</v>
      </c>
      <c r="I232" s="105" t="s">
        <v>52</v>
      </c>
      <c r="J232" s="105" t="s">
        <v>53</v>
      </c>
      <c r="K232" s="105">
        <v>0.01</v>
      </c>
      <c r="L232" s="105">
        <v>0.05</v>
      </c>
      <c r="M232" s="105">
        <v>0.1</v>
      </c>
      <c r="N232" s="105">
        <v>0.2</v>
      </c>
      <c r="O232" s="105">
        <v>0.3</v>
      </c>
      <c r="P232" s="105">
        <v>0.4</v>
      </c>
      <c r="Q232" s="105">
        <v>0.5</v>
      </c>
      <c r="R232" s="105">
        <v>0.6</v>
      </c>
      <c r="S232" s="105">
        <v>0.7</v>
      </c>
      <c r="T232" s="105">
        <v>0.8</v>
      </c>
      <c r="U232" s="105">
        <v>0.9</v>
      </c>
      <c r="V232" s="105">
        <v>0.95</v>
      </c>
      <c r="W232" s="105">
        <v>0.99</v>
      </c>
      <c r="X232" s="105">
        <v>0.995</v>
      </c>
      <c r="Y232" s="105">
        <v>0.999</v>
      </c>
      <c r="Z232" s="105">
        <v>0.99950000000000006</v>
      </c>
      <c r="AA232" s="105">
        <v>0.99990000000000001</v>
      </c>
    </row>
    <row r="233" spans="2:27" x14ac:dyDescent="0.2">
      <c r="B233" s="105" t="s">
        <v>798</v>
      </c>
      <c r="C233" s="105" t="s">
        <v>772</v>
      </c>
      <c r="D233" s="105">
        <v>45.3</v>
      </c>
      <c r="E233" s="105" t="s">
        <v>607</v>
      </c>
      <c r="F233" s="105" t="s">
        <v>608</v>
      </c>
      <c r="G233" s="105" t="s">
        <v>93</v>
      </c>
      <c r="H233" s="105" t="s">
        <v>609</v>
      </c>
      <c r="I233" s="105" t="s">
        <v>610</v>
      </c>
      <c r="K233" s="105" t="s">
        <v>251</v>
      </c>
      <c r="L233" s="105" t="s">
        <v>98</v>
      </c>
      <c r="M233" s="105" t="s">
        <v>241</v>
      </c>
      <c r="N233" s="105" t="s">
        <v>81</v>
      </c>
      <c r="O233" s="105" t="s">
        <v>68</v>
      </c>
      <c r="P233" s="105" t="s">
        <v>87</v>
      </c>
      <c r="Q233" s="105" t="s">
        <v>89</v>
      </c>
      <c r="R233" s="105" t="s">
        <v>242</v>
      </c>
      <c r="S233" s="105" t="s">
        <v>243</v>
      </c>
      <c r="T233" s="105" t="s">
        <v>244</v>
      </c>
      <c r="U233" s="105" t="s">
        <v>456</v>
      </c>
      <c r="V233" s="105" t="s">
        <v>73</v>
      </c>
      <c r="W233" s="105" t="s">
        <v>193</v>
      </c>
      <c r="X233" s="105" t="s">
        <v>110</v>
      </c>
      <c r="Y233" s="105" t="s">
        <v>148</v>
      </c>
      <c r="Z233" s="105" t="s">
        <v>217</v>
      </c>
      <c r="AA233" s="105" t="s">
        <v>409</v>
      </c>
    </row>
    <row r="234" spans="2:27" x14ac:dyDescent="0.2">
      <c r="C234" s="105" t="s">
        <v>773</v>
      </c>
      <c r="D234" s="105">
        <v>59.714203525835877</v>
      </c>
      <c r="E234" s="105">
        <v>1864.9045884498482</v>
      </c>
    </row>
    <row r="235" spans="2:27" x14ac:dyDescent="0.2">
      <c r="C235" s="105" t="s">
        <v>774</v>
      </c>
      <c r="D235" s="105">
        <v>36.4</v>
      </c>
      <c r="E235" s="105">
        <v>1181</v>
      </c>
    </row>
    <row r="236" spans="2:27" x14ac:dyDescent="0.2">
      <c r="C236" s="105" t="s">
        <v>775</v>
      </c>
      <c r="D236" s="105">
        <v>41.090477999999997</v>
      </c>
      <c r="E236" s="105">
        <v>1283.27628</v>
      </c>
    </row>
    <row r="237" spans="2:27" x14ac:dyDescent="0.2">
      <c r="C237" s="105" t="s">
        <v>776</v>
      </c>
      <c r="D237" s="105">
        <v>57.7</v>
      </c>
      <c r="E237" s="105" t="s">
        <v>467</v>
      </c>
      <c r="F237" s="105" t="s">
        <v>468</v>
      </c>
      <c r="G237" s="105" t="s">
        <v>283</v>
      </c>
      <c r="H237" s="105" t="s">
        <v>469</v>
      </c>
      <c r="I237" s="105" t="s">
        <v>470</v>
      </c>
      <c r="J237" s="105" t="s">
        <v>471</v>
      </c>
      <c r="K237" s="105" t="s">
        <v>97</v>
      </c>
      <c r="L237" s="105" t="s">
        <v>68</v>
      </c>
      <c r="M237" s="105" t="s">
        <v>87</v>
      </c>
      <c r="N237" s="105" t="s">
        <v>254</v>
      </c>
      <c r="O237" s="105" t="s">
        <v>255</v>
      </c>
      <c r="P237" s="105" t="s">
        <v>301</v>
      </c>
      <c r="Q237" s="105" t="s">
        <v>177</v>
      </c>
      <c r="R237" s="105" t="s">
        <v>76</v>
      </c>
      <c r="S237" s="105" t="s">
        <v>110</v>
      </c>
      <c r="T237" s="105" t="s">
        <v>114</v>
      </c>
      <c r="U237" s="105" t="s">
        <v>151</v>
      </c>
      <c r="V237" s="105" t="s">
        <v>130</v>
      </c>
      <c r="W237" s="105" t="s">
        <v>135</v>
      </c>
      <c r="X237" s="105" t="s">
        <v>472</v>
      </c>
      <c r="Y237" s="105" t="s">
        <v>379</v>
      </c>
      <c r="Z237" s="105" t="s">
        <v>401</v>
      </c>
      <c r="AA237" s="105" t="s">
        <v>473</v>
      </c>
    </row>
    <row r="239" spans="2:27" x14ac:dyDescent="0.2">
      <c r="D239" s="105" t="s">
        <v>47</v>
      </c>
      <c r="E239" s="105" t="s">
        <v>48</v>
      </c>
      <c r="F239" s="105" t="s">
        <v>49</v>
      </c>
      <c r="G239" s="105" t="s">
        <v>50</v>
      </c>
      <c r="H239" s="105" t="s">
        <v>51</v>
      </c>
      <c r="I239" s="105" t="s">
        <v>52</v>
      </c>
      <c r="J239" s="105" t="s">
        <v>53</v>
      </c>
      <c r="K239" s="105">
        <v>0.01</v>
      </c>
      <c r="L239" s="105">
        <v>0.05</v>
      </c>
      <c r="M239" s="105">
        <v>0.1</v>
      </c>
      <c r="N239" s="105">
        <v>0.2</v>
      </c>
      <c r="O239" s="105">
        <v>0.3</v>
      </c>
      <c r="P239" s="105">
        <v>0.4</v>
      </c>
      <c r="Q239" s="105">
        <v>0.5</v>
      </c>
      <c r="R239" s="105">
        <v>0.6</v>
      </c>
      <c r="S239" s="105">
        <v>0.7</v>
      </c>
      <c r="T239" s="105">
        <v>0.8</v>
      </c>
      <c r="U239" s="105">
        <v>0.9</v>
      </c>
      <c r="V239" s="105">
        <v>0.95</v>
      </c>
      <c r="W239" s="105">
        <v>0.99</v>
      </c>
      <c r="X239" s="105">
        <v>0.995</v>
      </c>
      <c r="Y239" s="105">
        <v>0.999</v>
      </c>
      <c r="Z239" s="105">
        <v>0.99950000000000006</v>
      </c>
      <c r="AA239" s="105">
        <v>0.99990000000000001</v>
      </c>
    </row>
    <row r="240" spans="2:27" x14ac:dyDescent="0.2">
      <c r="B240" s="105" t="s">
        <v>805</v>
      </c>
      <c r="C240" s="105" t="s">
        <v>772</v>
      </c>
      <c r="D240" s="105">
        <v>33.6</v>
      </c>
      <c r="E240" s="105" t="s">
        <v>611</v>
      </c>
      <c r="F240" s="105" t="s">
        <v>612</v>
      </c>
      <c r="G240" s="105" t="s">
        <v>94</v>
      </c>
      <c r="H240" s="105" t="s">
        <v>484</v>
      </c>
      <c r="I240" s="105" t="s">
        <v>613</v>
      </c>
      <c r="K240" s="105" t="s">
        <v>251</v>
      </c>
      <c r="L240" s="105" t="s">
        <v>97</v>
      </c>
      <c r="M240" s="105" t="s">
        <v>97</v>
      </c>
      <c r="N240" s="105" t="s">
        <v>97</v>
      </c>
      <c r="O240" s="105" t="s">
        <v>98</v>
      </c>
      <c r="P240" s="105" t="s">
        <v>82</v>
      </c>
      <c r="Q240" s="105" t="s">
        <v>241</v>
      </c>
      <c r="R240" s="105" t="s">
        <v>68</v>
      </c>
      <c r="S240" s="105" t="s">
        <v>88</v>
      </c>
      <c r="T240" s="105" t="s">
        <v>89</v>
      </c>
      <c r="U240" s="105" t="s">
        <v>242</v>
      </c>
      <c r="V240" s="105" t="s">
        <v>243</v>
      </c>
      <c r="W240" s="105" t="s">
        <v>75</v>
      </c>
      <c r="X240" s="105" t="s">
        <v>233</v>
      </c>
      <c r="Y240" s="105" t="s">
        <v>112</v>
      </c>
      <c r="Z240" s="105" t="s">
        <v>207</v>
      </c>
      <c r="AA240" s="105" t="s">
        <v>484</v>
      </c>
    </row>
    <row r="241" spans="2:27" x14ac:dyDescent="0.2">
      <c r="C241" s="105" t="s">
        <v>773</v>
      </c>
      <c r="D241" s="105">
        <v>38.288543999999995</v>
      </c>
      <c r="E241" s="105">
        <v>1195.3774599999999</v>
      </c>
      <c r="K241" s="105" t="s">
        <v>95</v>
      </c>
      <c r="L241" s="105" t="s">
        <v>95</v>
      </c>
      <c r="M241" s="105" t="s">
        <v>251</v>
      </c>
      <c r="N241" s="105" t="s">
        <v>251</v>
      </c>
      <c r="O241" s="105" t="s">
        <v>96</v>
      </c>
      <c r="P241" s="105" t="s">
        <v>96</v>
      </c>
      <c r="Q241" s="105" t="s">
        <v>97</v>
      </c>
      <c r="R241" s="105" t="s">
        <v>82</v>
      </c>
      <c r="S241" s="105" t="s">
        <v>68</v>
      </c>
      <c r="T241" s="105" t="s">
        <v>86</v>
      </c>
      <c r="U241" s="105" t="s">
        <v>87</v>
      </c>
      <c r="V241" s="105" t="s">
        <v>244</v>
      </c>
      <c r="W241" s="105" t="s">
        <v>74</v>
      </c>
      <c r="X241" s="105" t="s">
        <v>233</v>
      </c>
      <c r="Y241" s="105" t="s">
        <v>110</v>
      </c>
      <c r="Z241" s="105" t="s">
        <v>207</v>
      </c>
      <c r="AA241" s="105">
        <v>123</v>
      </c>
    </row>
    <row r="242" spans="2:27" x14ac:dyDescent="0.2">
      <c r="C242" s="105" t="s">
        <v>774</v>
      </c>
      <c r="D242" s="105">
        <v>9.7639999999999993</v>
      </c>
      <c r="E242" s="105">
        <v>318.71699999999998</v>
      </c>
      <c r="K242" s="105">
        <v>96</v>
      </c>
      <c r="L242" s="105">
        <v>97</v>
      </c>
      <c r="M242" s="105">
        <v>98</v>
      </c>
      <c r="N242" s="105">
        <v>98</v>
      </c>
      <c r="O242" s="105">
        <v>99</v>
      </c>
      <c r="P242" s="105">
        <v>99</v>
      </c>
      <c r="Q242" s="105">
        <v>99</v>
      </c>
      <c r="R242" s="105">
        <v>100</v>
      </c>
      <c r="S242" s="105">
        <v>100</v>
      </c>
      <c r="T242" s="105">
        <v>101</v>
      </c>
      <c r="U242" s="105">
        <v>108</v>
      </c>
      <c r="V242" s="105">
        <v>184</v>
      </c>
      <c r="W242" s="105">
        <v>192</v>
      </c>
      <c r="X242" s="105">
        <v>277</v>
      </c>
      <c r="Y242" s="105">
        <v>281</v>
      </c>
      <c r="Z242" s="105">
        <v>285</v>
      </c>
      <c r="AA242" s="105">
        <v>1876</v>
      </c>
    </row>
    <row r="243" spans="2:27" x14ac:dyDescent="0.2">
      <c r="C243" s="105" t="s">
        <v>775</v>
      </c>
      <c r="D243" s="105">
        <v>28.7</v>
      </c>
      <c r="E243" s="105">
        <v>896.59127999999998</v>
      </c>
      <c r="G243" s="105" t="s">
        <v>94</v>
      </c>
      <c r="H243" s="105" t="s">
        <v>723</v>
      </c>
      <c r="I243" s="105" t="s">
        <v>724</v>
      </c>
      <c r="J243" s="105" t="s">
        <v>725</v>
      </c>
      <c r="K243" s="105" t="s">
        <v>251</v>
      </c>
      <c r="L243" s="105" t="s">
        <v>96</v>
      </c>
      <c r="M243" s="105" t="s">
        <v>96</v>
      </c>
      <c r="N243" s="105" t="s">
        <v>98</v>
      </c>
      <c r="O243" s="105" t="s">
        <v>82</v>
      </c>
      <c r="P243" s="105" t="s">
        <v>82</v>
      </c>
      <c r="Q243" s="105" t="s">
        <v>82</v>
      </c>
      <c r="R243" s="105" t="s">
        <v>241</v>
      </c>
      <c r="S243" s="105" t="s">
        <v>241</v>
      </c>
      <c r="T243" s="105" t="s">
        <v>81</v>
      </c>
      <c r="U243" s="105" t="s">
        <v>88</v>
      </c>
      <c r="V243" s="105" t="s">
        <v>71</v>
      </c>
      <c r="W243" s="105" t="s">
        <v>328</v>
      </c>
      <c r="X243" s="105" t="s">
        <v>651</v>
      </c>
      <c r="Y243" s="105" t="s">
        <v>382</v>
      </c>
      <c r="Z243" s="105" t="s">
        <v>726</v>
      </c>
      <c r="AA243" s="105" t="s">
        <v>721</v>
      </c>
    </row>
    <row r="244" spans="2:27" x14ac:dyDescent="0.2">
      <c r="C244" s="105" t="s">
        <v>776</v>
      </c>
      <c r="D244" s="105">
        <v>35.799999999999997</v>
      </c>
      <c r="E244" s="105" t="s">
        <v>474</v>
      </c>
      <c r="F244" s="105" t="s">
        <v>475</v>
      </c>
      <c r="G244" s="105" t="s">
        <v>265</v>
      </c>
      <c r="H244" s="105" t="s">
        <v>476</v>
      </c>
      <c r="I244" s="105" t="s">
        <v>477</v>
      </c>
      <c r="K244" s="105" t="s">
        <v>95</v>
      </c>
      <c r="L244" s="105" t="s">
        <v>251</v>
      </c>
      <c r="M244" s="105" t="s">
        <v>251</v>
      </c>
      <c r="N244" s="105" t="s">
        <v>96</v>
      </c>
      <c r="O244" s="105" t="s">
        <v>97</v>
      </c>
      <c r="P244" s="105" t="s">
        <v>97</v>
      </c>
      <c r="Q244" s="105" t="s">
        <v>82</v>
      </c>
      <c r="R244" s="105" t="s">
        <v>81</v>
      </c>
      <c r="S244" s="105" t="s">
        <v>86</v>
      </c>
      <c r="T244" s="105" t="s">
        <v>87</v>
      </c>
      <c r="U244" s="105" t="s">
        <v>88</v>
      </c>
      <c r="V244" s="105" t="s">
        <v>243</v>
      </c>
      <c r="W244" s="105" t="s">
        <v>74</v>
      </c>
      <c r="X244" s="105" t="s">
        <v>233</v>
      </c>
      <c r="Y244" s="105" t="s">
        <v>110</v>
      </c>
      <c r="Z244" s="105" t="s">
        <v>115</v>
      </c>
      <c r="AA244" s="105" t="s">
        <v>476</v>
      </c>
    </row>
    <row r="246" spans="2:27" x14ac:dyDescent="0.2">
      <c r="D246" s="105" t="s">
        <v>47</v>
      </c>
      <c r="E246" s="105" t="s">
        <v>48</v>
      </c>
      <c r="F246" s="105" t="s">
        <v>49</v>
      </c>
      <c r="G246" s="105" t="s">
        <v>50</v>
      </c>
      <c r="H246" s="105" t="s">
        <v>51</v>
      </c>
      <c r="I246" s="105" t="s">
        <v>52</v>
      </c>
      <c r="J246" s="105" t="s">
        <v>53</v>
      </c>
      <c r="K246" s="105">
        <v>0.01</v>
      </c>
      <c r="L246" s="105">
        <v>0.05</v>
      </c>
      <c r="M246" s="105">
        <v>0.1</v>
      </c>
      <c r="N246" s="105">
        <v>0.2</v>
      </c>
      <c r="O246" s="105">
        <v>0.3</v>
      </c>
      <c r="P246" s="105">
        <v>0.4</v>
      </c>
      <c r="Q246" s="105">
        <v>0.5</v>
      </c>
      <c r="R246" s="105">
        <v>0.6</v>
      </c>
      <c r="S246" s="105">
        <v>0.7</v>
      </c>
      <c r="T246" s="105">
        <v>0.8</v>
      </c>
      <c r="U246" s="105">
        <v>0.9</v>
      </c>
      <c r="V246" s="105">
        <v>0.95</v>
      </c>
      <c r="W246" s="105">
        <v>0.99</v>
      </c>
      <c r="X246" s="105">
        <v>0.995</v>
      </c>
      <c r="Y246" s="105">
        <v>0.999</v>
      </c>
      <c r="Z246" s="105">
        <v>0.99950000000000006</v>
      </c>
      <c r="AA246" s="105">
        <v>0.99990000000000001</v>
      </c>
    </row>
    <row r="247" spans="2:27" x14ac:dyDescent="0.2">
      <c r="B247" s="105" t="s">
        <v>805</v>
      </c>
      <c r="C247" s="105" t="s">
        <v>772</v>
      </c>
      <c r="D247" s="105">
        <v>50.4</v>
      </c>
      <c r="E247" s="105" t="s">
        <v>629</v>
      </c>
      <c r="F247" s="105" t="s">
        <v>630</v>
      </c>
      <c r="G247" s="105" t="s">
        <v>250</v>
      </c>
      <c r="H247" s="105" t="s">
        <v>631</v>
      </c>
      <c r="I247" s="105" t="s">
        <v>632</v>
      </c>
      <c r="J247" s="105" t="s">
        <v>633</v>
      </c>
      <c r="K247" s="105" t="s">
        <v>98</v>
      </c>
      <c r="L247" s="105" t="s">
        <v>68</v>
      </c>
      <c r="M247" s="105" t="s">
        <v>88</v>
      </c>
      <c r="N247" s="105" t="s">
        <v>252</v>
      </c>
      <c r="O247" s="105" t="s">
        <v>69</v>
      </c>
      <c r="P247" s="105" t="s">
        <v>456</v>
      </c>
      <c r="Q247" s="105" t="s">
        <v>73</v>
      </c>
      <c r="R247" s="105" t="s">
        <v>301</v>
      </c>
      <c r="S247" s="105" t="s">
        <v>233</v>
      </c>
      <c r="T247" s="105" t="s">
        <v>181</v>
      </c>
      <c r="U247" s="105" t="s">
        <v>114</v>
      </c>
      <c r="V247" s="105" t="s">
        <v>166</v>
      </c>
      <c r="W247" s="105" t="s">
        <v>342</v>
      </c>
      <c r="X247" s="105" t="s">
        <v>327</v>
      </c>
      <c r="Y247" s="105" t="s">
        <v>196</v>
      </c>
      <c r="Z247" s="105" t="s">
        <v>527</v>
      </c>
      <c r="AA247" s="105" t="s">
        <v>634</v>
      </c>
    </row>
    <row r="248" spans="2:27" x14ac:dyDescent="0.2">
      <c r="C248" s="105" t="s">
        <v>773</v>
      </c>
      <c r="D248" s="105">
        <v>53.032302732016007</v>
      </c>
      <c r="E248" s="105">
        <v>1656.2072321466906</v>
      </c>
    </row>
    <row r="249" spans="2:27" x14ac:dyDescent="0.2">
      <c r="C249" s="105" t="s">
        <v>774</v>
      </c>
      <c r="D249" s="105">
        <v>30.366039999999998</v>
      </c>
      <c r="E249" s="105">
        <v>989.05949999999996</v>
      </c>
    </row>
    <row r="250" spans="2:27" x14ac:dyDescent="0.2">
      <c r="C250" s="105" t="s">
        <v>775</v>
      </c>
      <c r="D250" s="105">
        <v>39.777216000000003</v>
      </c>
      <c r="E250" s="105">
        <v>1242.23604</v>
      </c>
    </row>
    <row r="251" spans="2:27" x14ac:dyDescent="0.2">
      <c r="C251" s="105" t="s">
        <v>776</v>
      </c>
      <c r="D251" s="105">
        <v>49.6</v>
      </c>
      <c r="E251" s="105" t="s">
        <v>478</v>
      </c>
      <c r="F251" s="105" t="s">
        <v>479</v>
      </c>
      <c r="G251" s="105" t="s">
        <v>250</v>
      </c>
      <c r="H251" s="105" t="s">
        <v>480</v>
      </c>
      <c r="I251" s="105" t="s">
        <v>481</v>
      </c>
      <c r="J251" s="105" t="s">
        <v>482</v>
      </c>
      <c r="K251" s="105" t="s">
        <v>96</v>
      </c>
      <c r="L251" s="105" t="s">
        <v>81</v>
      </c>
      <c r="M251" s="105" t="s">
        <v>87</v>
      </c>
      <c r="N251" s="105" t="s">
        <v>242</v>
      </c>
      <c r="O251" s="105" t="s">
        <v>252</v>
      </c>
      <c r="P251" s="105" t="s">
        <v>254</v>
      </c>
      <c r="Q251" s="105" t="s">
        <v>71</v>
      </c>
      <c r="R251" s="105" t="s">
        <v>255</v>
      </c>
      <c r="S251" s="105" t="s">
        <v>301</v>
      </c>
      <c r="T251" s="105" t="s">
        <v>223</v>
      </c>
      <c r="U251" s="105" t="s">
        <v>168</v>
      </c>
      <c r="V251" s="105" t="s">
        <v>321</v>
      </c>
      <c r="W251" s="105" t="s">
        <v>184</v>
      </c>
      <c r="X251" s="105" t="s">
        <v>222</v>
      </c>
      <c r="Y251" s="105" t="s">
        <v>288</v>
      </c>
      <c r="Z251" s="105" t="s">
        <v>483</v>
      </c>
      <c r="AA251" s="105" t="s">
        <v>484</v>
      </c>
    </row>
    <row r="253" spans="2:27" x14ac:dyDescent="0.2">
      <c r="D253" s="105" t="s">
        <v>47</v>
      </c>
      <c r="E253" s="105" t="s">
        <v>48</v>
      </c>
      <c r="F253" s="105" t="s">
        <v>49</v>
      </c>
      <c r="G253" s="105" t="s">
        <v>50</v>
      </c>
      <c r="H253" s="105" t="s">
        <v>51</v>
      </c>
      <c r="I253" s="105" t="s">
        <v>52</v>
      </c>
      <c r="J253" s="105" t="s">
        <v>53</v>
      </c>
      <c r="K253" s="105">
        <v>0.01</v>
      </c>
      <c r="L253" s="105">
        <v>0.05</v>
      </c>
      <c r="M253" s="105">
        <v>0.1</v>
      </c>
      <c r="N253" s="105">
        <v>0.2</v>
      </c>
      <c r="O253" s="105">
        <v>0.3</v>
      </c>
      <c r="P253" s="105">
        <v>0.4</v>
      </c>
      <c r="Q253" s="105">
        <v>0.5</v>
      </c>
      <c r="R253" s="105">
        <v>0.6</v>
      </c>
      <c r="S253" s="105">
        <v>0.7</v>
      </c>
      <c r="T253" s="105">
        <v>0.8</v>
      </c>
      <c r="U253" s="105">
        <v>0.9</v>
      </c>
      <c r="V253" s="105">
        <v>0.95</v>
      </c>
      <c r="W253" s="105">
        <v>0.99</v>
      </c>
      <c r="X253" s="105">
        <v>0.995</v>
      </c>
      <c r="Y253" s="105">
        <v>0.999</v>
      </c>
      <c r="Z253" s="105">
        <v>0.99950000000000006</v>
      </c>
      <c r="AA253" s="105">
        <v>0.99990000000000001</v>
      </c>
    </row>
    <row r="254" spans="2:27" x14ac:dyDescent="0.2">
      <c r="B254" s="105" t="s">
        <v>805</v>
      </c>
      <c r="C254" s="105" t="s">
        <v>772</v>
      </c>
      <c r="D254" s="105" t="s">
        <v>223</v>
      </c>
      <c r="E254" s="105" t="s">
        <v>614</v>
      </c>
      <c r="F254" s="105" t="s">
        <v>615</v>
      </c>
      <c r="G254" s="105" t="s">
        <v>93</v>
      </c>
      <c r="H254" s="105" t="s">
        <v>616</v>
      </c>
      <c r="I254" s="105" t="s">
        <v>617</v>
      </c>
      <c r="J254" s="105" t="s">
        <v>618</v>
      </c>
      <c r="K254" s="105" t="s">
        <v>86</v>
      </c>
      <c r="L254" s="105" t="s">
        <v>69</v>
      </c>
      <c r="M254" s="105" t="s">
        <v>255</v>
      </c>
      <c r="N254" s="105" t="s">
        <v>307</v>
      </c>
      <c r="O254" s="105" t="s">
        <v>76</v>
      </c>
      <c r="P254" s="105" t="s">
        <v>109</v>
      </c>
      <c r="Q254" s="105" t="s">
        <v>145</v>
      </c>
      <c r="R254" s="105" t="s">
        <v>148</v>
      </c>
      <c r="S254" s="105" t="s">
        <v>218</v>
      </c>
      <c r="T254" s="105" t="s">
        <v>127</v>
      </c>
      <c r="U254" s="105" t="s">
        <v>153</v>
      </c>
      <c r="V254" s="105" t="s">
        <v>278</v>
      </c>
      <c r="W254" s="105" t="s">
        <v>417</v>
      </c>
      <c r="X254" s="105" t="s">
        <v>484</v>
      </c>
      <c r="Y254" s="105" t="s">
        <v>619</v>
      </c>
      <c r="Z254" s="105" t="s">
        <v>324</v>
      </c>
      <c r="AA254" s="105" t="s">
        <v>620</v>
      </c>
    </row>
    <row r="255" spans="2:27" x14ac:dyDescent="0.2">
      <c r="C255" s="105" t="s">
        <v>773</v>
      </c>
      <c r="D255" s="105">
        <v>59.650085763293312</v>
      </c>
      <c r="E255" s="105">
        <v>1863</v>
      </c>
    </row>
    <row r="256" spans="2:27" x14ac:dyDescent="0.2">
      <c r="C256" s="105" t="s">
        <v>774</v>
      </c>
      <c r="D256" s="105">
        <v>40.128087199999996</v>
      </c>
      <c r="E256" s="105">
        <v>1310.3882000000001</v>
      </c>
    </row>
    <row r="257" spans="2:27" x14ac:dyDescent="0.2">
      <c r="C257" s="105" t="s">
        <v>775</v>
      </c>
      <c r="D257" s="105">
        <v>41.541528</v>
      </c>
      <c r="E257" s="105">
        <v>1296.7693200000001</v>
      </c>
    </row>
    <row r="258" spans="2:27" x14ac:dyDescent="0.2">
      <c r="C258" s="105" t="s">
        <v>776</v>
      </c>
      <c r="D258" s="105">
        <v>51.8</v>
      </c>
      <c r="E258" s="105" t="s">
        <v>493</v>
      </c>
      <c r="F258" s="105" t="s">
        <v>494</v>
      </c>
      <c r="G258" s="105" t="s">
        <v>93</v>
      </c>
      <c r="H258" s="105" t="s">
        <v>487</v>
      </c>
      <c r="I258" s="105" t="s">
        <v>488</v>
      </c>
      <c r="J258" s="105" t="s">
        <v>489</v>
      </c>
      <c r="K258" s="105" t="s">
        <v>81</v>
      </c>
      <c r="L258" s="105" t="s">
        <v>252</v>
      </c>
      <c r="M258" s="105" t="s">
        <v>456</v>
      </c>
      <c r="N258" s="105" t="s">
        <v>378</v>
      </c>
      <c r="O258" s="105" t="s">
        <v>213</v>
      </c>
      <c r="P258" s="105" t="s">
        <v>108</v>
      </c>
      <c r="Q258" s="105" t="s">
        <v>113</v>
      </c>
      <c r="R258" s="105" t="s">
        <v>115</v>
      </c>
      <c r="S258" s="105" t="s">
        <v>217</v>
      </c>
      <c r="T258" s="105" t="s">
        <v>182</v>
      </c>
      <c r="U258" s="105" t="s">
        <v>133</v>
      </c>
      <c r="V258" s="105" t="s">
        <v>135</v>
      </c>
      <c r="W258" s="105" t="s">
        <v>490</v>
      </c>
      <c r="X258" s="105" t="s">
        <v>102</v>
      </c>
      <c r="Y258" s="105" t="s">
        <v>403</v>
      </c>
      <c r="Z258" s="105" t="s">
        <v>491</v>
      </c>
      <c r="AA258" s="105" t="s">
        <v>492</v>
      </c>
    </row>
    <row r="260" spans="2:27" x14ac:dyDescent="0.2">
      <c r="D260" s="105" t="s">
        <v>47</v>
      </c>
      <c r="E260" s="105" t="s">
        <v>48</v>
      </c>
      <c r="F260" s="105" t="s">
        <v>49</v>
      </c>
      <c r="G260" s="105" t="s">
        <v>50</v>
      </c>
      <c r="H260" s="105" t="s">
        <v>51</v>
      </c>
      <c r="I260" s="105" t="s">
        <v>52</v>
      </c>
      <c r="J260" s="105" t="s">
        <v>53</v>
      </c>
      <c r="K260" s="105">
        <v>0.01</v>
      </c>
      <c r="L260" s="105">
        <v>0.05</v>
      </c>
      <c r="M260" s="105">
        <v>0.1</v>
      </c>
      <c r="N260" s="105">
        <v>0.2</v>
      </c>
      <c r="O260" s="105">
        <v>0.3</v>
      </c>
      <c r="P260" s="105">
        <v>0.4</v>
      </c>
      <c r="Q260" s="105">
        <v>0.5</v>
      </c>
      <c r="R260" s="105">
        <v>0.6</v>
      </c>
      <c r="S260" s="105">
        <v>0.7</v>
      </c>
      <c r="T260" s="105">
        <v>0.8</v>
      </c>
      <c r="U260" s="105">
        <v>0.9</v>
      </c>
      <c r="V260" s="105">
        <v>0.95</v>
      </c>
      <c r="W260" s="105">
        <v>0.99</v>
      </c>
      <c r="X260" s="105">
        <v>0.995</v>
      </c>
      <c r="Y260" s="105">
        <v>0.999</v>
      </c>
      <c r="Z260" s="105">
        <v>0.99950000000000006</v>
      </c>
      <c r="AA260" s="105">
        <v>0.99990000000000001</v>
      </c>
    </row>
    <row r="261" spans="2:27" x14ac:dyDescent="0.2">
      <c r="B261" s="105" t="s">
        <v>805</v>
      </c>
      <c r="C261" s="105" t="s">
        <v>772</v>
      </c>
      <c r="D261" s="105">
        <v>64.3</v>
      </c>
      <c r="E261" s="105" t="s">
        <v>621</v>
      </c>
      <c r="F261" s="105" t="s">
        <v>622</v>
      </c>
      <c r="G261" s="105" t="s">
        <v>452</v>
      </c>
      <c r="H261" s="105" t="s">
        <v>623</v>
      </c>
      <c r="I261" s="105" t="s">
        <v>624</v>
      </c>
      <c r="J261" s="105" t="s">
        <v>625</v>
      </c>
      <c r="K261" s="105" t="s">
        <v>242</v>
      </c>
      <c r="L261" s="105" t="s">
        <v>255</v>
      </c>
      <c r="M261" s="105" t="s">
        <v>378</v>
      </c>
      <c r="N261" s="105" t="s">
        <v>76</v>
      </c>
      <c r="O261" s="105" t="s">
        <v>111</v>
      </c>
      <c r="P261" s="105" t="s">
        <v>114</v>
      </c>
      <c r="Q261" s="105" t="s">
        <v>165</v>
      </c>
      <c r="R261" s="105" t="s">
        <v>218</v>
      </c>
      <c r="S261" s="105" t="s">
        <v>182</v>
      </c>
      <c r="T261" s="105" t="s">
        <v>238</v>
      </c>
      <c r="U261" s="105" t="s">
        <v>135</v>
      </c>
      <c r="V261" s="105" t="s">
        <v>352</v>
      </c>
      <c r="W261" s="105" t="s">
        <v>280</v>
      </c>
      <c r="X261" s="105" t="s">
        <v>626</v>
      </c>
      <c r="Y261" s="105" t="s">
        <v>371</v>
      </c>
      <c r="Z261" s="105" t="s">
        <v>627</v>
      </c>
      <c r="AA261" s="105" t="s">
        <v>628</v>
      </c>
    </row>
    <row r="262" spans="2:27" x14ac:dyDescent="0.2">
      <c r="C262" s="105" t="s">
        <v>773</v>
      </c>
      <c r="D262" s="105">
        <v>72.721762948207171</v>
      </c>
      <c r="E262" s="105">
        <v>2271</v>
      </c>
    </row>
    <row r="263" spans="2:27" x14ac:dyDescent="0.2">
      <c r="C263" s="105" t="s">
        <v>774</v>
      </c>
      <c r="D263" s="105">
        <v>41.996428599999994</v>
      </c>
      <c r="E263" s="105">
        <v>1371.7478500000002</v>
      </c>
    </row>
    <row r="264" spans="2:27" x14ac:dyDescent="0.2">
      <c r="C264" s="105" t="s">
        <v>775</v>
      </c>
      <c r="D264" s="105">
        <v>48.358187999999998</v>
      </c>
      <c r="E264" s="105">
        <v>1511.6946</v>
      </c>
    </row>
    <row r="265" spans="2:27" x14ac:dyDescent="0.2">
      <c r="C265" s="105" t="s">
        <v>776</v>
      </c>
      <c r="D265" s="105">
        <v>60.3</v>
      </c>
      <c r="E265" s="105" t="s">
        <v>485</v>
      </c>
      <c r="F265" s="105" t="s">
        <v>486</v>
      </c>
      <c r="G265" s="105" t="s">
        <v>93</v>
      </c>
      <c r="H265" s="105" t="s">
        <v>495</v>
      </c>
      <c r="I265" s="105" t="s">
        <v>496</v>
      </c>
      <c r="J265" s="105" t="s">
        <v>497</v>
      </c>
      <c r="K265" s="105" t="s">
        <v>242</v>
      </c>
      <c r="L265" s="105" t="s">
        <v>73</v>
      </c>
      <c r="M265" s="105" t="s">
        <v>177</v>
      </c>
      <c r="N265" s="105" t="s">
        <v>108</v>
      </c>
      <c r="O265" s="105" t="s">
        <v>114</v>
      </c>
      <c r="P265" s="105" t="s">
        <v>150</v>
      </c>
      <c r="Q265" s="105" t="s">
        <v>124</v>
      </c>
      <c r="R265" s="105" t="s">
        <v>127</v>
      </c>
      <c r="S265" s="105" t="s">
        <v>498</v>
      </c>
      <c r="T265" s="105" t="s">
        <v>499</v>
      </c>
      <c r="U265" s="105" t="s">
        <v>500</v>
      </c>
      <c r="V265" s="105" t="s">
        <v>501</v>
      </c>
      <c r="W265" s="105" t="s">
        <v>502</v>
      </c>
      <c r="X265" s="105" t="s">
        <v>503</v>
      </c>
      <c r="Y265" s="105" t="s">
        <v>504</v>
      </c>
      <c r="Z265" s="105" t="s">
        <v>505</v>
      </c>
      <c r="AA265" s="105" t="s">
        <v>506</v>
      </c>
    </row>
    <row r="267" spans="2:27" x14ac:dyDescent="0.2">
      <c r="D267" s="105">
        <v>2.3507642799678199</v>
      </c>
      <c r="E267" s="105">
        <v>2.3333333333333335</v>
      </c>
    </row>
    <row r="268" spans="2:27" x14ac:dyDescent="0.2">
      <c r="D268" s="105">
        <v>3.4746580852775542</v>
      </c>
      <c r="E268" s="105">
        <v>3.4615384615384617</v>
      </c>
    </row>
    <row r="269" spans="2:27" x14ac:dyDescent="0.2">
      <c r="D269" s="105">
        <v>4.532582461786002</v>
      </c>
      <c r="E269" s="105">
        <v>4.5128205128205128</v>
      </c>
    </row>
    <row r="271" spans="2:27" x14ac:dyDescent="0.2">
      <c r="D271" s="105">
        <v>2.5463535228677383</v>
      </c>
      <c r="E271" s="105">
        <v>2.6085271317829459</v>
      </c>
    </row>
    <row r="272" spans="2:27" x14ac:dyDescent="0.2">
      <c r="D272" s="105">
        <v>3.819530284301607</v>
      </c>
      <c r="E272" s="105">
        <v>3.8798449612403099</v>
      </c>
    </row>
    <row r="273" spans="1:27" x14ac:dyDescent="0.2">
      <c r="D273" s="105">
        <v>4.49938195302843</v>
      </c>
      <c r="E273" s="105">
        <v>4.5775193798449614</v>
      </c>
    </row>
    <row r="275" spans="1:27" x14ac:dyDescent="0.2">
      <c r="D275" s="105">
        <v>3.11347808275297</v>
      </c>
      <c r="E275" s="105">
        <v>3.1003134796238245</v>
      </c>
    </row>
    <row r="276" spans="1:27" x14ac:dyDescent="0.2">
      <c r="D276" s="105">
        <v>4.1069233920524377</v>
      </c>
      <c r="E276" s="105">
        <v>4.1065830721003138</v>
      </c>
    </row>
    <row r="277" spans="1:27" x14ac:dyDescent="0.2">
      <c r="D277" s="105">
        <v>4.3015157722244988</v>
      </c>
      <c r="E277" s="105">
        <v>4.3009404388714731</v>
      </c>
    </row>
    <row r="284" spans="1:27" x14ac:dyDescent="0.2">
      <c r="A284" s="105" t="s">
        <v>806</v>
      </c>
    </row>
    <row r="285" spans="1:27" x14ac:dyDescent="0.2">
      <c r="D285" s="105" t="s">
        <v>47</v>
      </c>
      <c r="E285" s="105" t="s">
        <v>48</v>
      </c>
      <c r="F285" s="105" t="s">
        <v>49</v>
      </c>
      <c r="G285" s="105" t="s">
        <v>50</v>
      </c>
      <c r="H285" s="105" t="s">
        <v>51</v>
      </c>
      <c r="I285" s="105" t="s">
        <v>52</v>
      </c>
      <c r="J285" s="105" t="s">
        <v>53</v>
      </c>
      <c r="K285" s="105">
        <v>0.01</v>
      </c>
      <c r="L285" s="105">
        <v>0.05</v>
      </c>
      <c r="M285" s="105">
        <v>0.1</v>
      </c>
      <c r="N285" s="105">
        <v>0.2</v>
      </c>
      <c r="O285" s="105">
        <v>0.3</v>
      </c>
      <c r="P285" s="105">
        <v>0.4</v>
      </c>
      <c r="Q285" s="105">
        <v>0.5</v>
      </c>
      <c r="R285" s="105">
        <v>0.6</v>
      </c>
      <c r="S285" s="105">
        <v>0.7</v>
      </c>
      <c r="T285" s="105">
        <v>0.8</v>
      </c>
      <c r="U285" s="105">
        <v>0.9</v>
      </c>
      <c r="V285" s="105">
        <v>0.95</v>
      </c>
      <c r="W285" s="105">
        <v>0.99</v>
      </c>
      <c r="X285" s="105">
        <v>0.995</v>
      </c>
      <c r="Y285" s="105">
        <v>0.999</v>
      </c>
      <c r="Z285" s="105">
        <v>0.99950000000000006</v>
      </c>
      <c r="AA285" s="105">
        <v>0.99990000000000001</v>
      </c>
    </row>
    <row r="286" spans="1:27" x14ac:dyDescent="0.2">
      <c r="B286" s="105" t="s">
        <v>807</v>
      </c>
      <c r="C286" s="105" t="s">
        <v>772</v>
      </c>
      <c r="D286" s="105" t="s">
        <v>118</v>
      </c>
      <c r="E286" s="105" t="s">
        <v>119</v>
      </c>
      <c r="F286" s="105" t="s">
        <v>120</v>
      </c>
      <c r="G286" s="105" t="s">
        <v>68</v>
      </c>
      <c r="H286" s="105" t="s">
        <v>121</v>
      </c>
      <c r="I286" s="105" t="s">
        <v>122</v>
      </c>
      <c r="J286" s="105" t="s">
        <v>123</v>
      </c>
      <c r="K286" s="105" t="s">
        <v>124</v>
      </c>
      <c r="L286" s="105" t="s">
        <v>125</v>
      </c>
      <c r="M286" s="105" t="s">
        <v>126</v>
      </c>
      <c r="N286" s="105" t="s">
        <v>127</v>
      </c>
      <c r="O286" s="105" t="s">
        <v>128</v>
      </c>
      <c r="P286" s="105" t="s">
        <v>129</v>
      </c>
      <c r="Q286" s="105" t="s">
        <v>130</v>
      </c>
      <c r="R286" s="105" t="s">
        <v>131</v>
      </c>
      <c r="S286" s="105" t="s">
        <v>132</v>
      </c>
      <c r="T286" s="105" t="s">
        <v>133</v>
      </c>
      <c r="U286" s="105" t="s">
        <v>134</v>
      </c>
      <c r="V286" s="105" t="s">
        <v>135</v>
      </c>
      <c r="W286" s="105" t="s">
        <v>90</v>
      </c>
      <c r="X286" s="105" t="s">
        <v>136</v>
      </c>
      <c r="Y286" s="105" t="s">
        <v>137</v>
      </c>
      <c r="Z286" s="105" t="s">
        <v>137</v>
      </c>
      <c r="AA286" s="105" t="s">
        <v>138</v>
      </c>
    </row>
    <row r="287" spans="1:27" x14ac:dyDescent="0.2">
      <c r="A287" s="105" t="s">
        <v>770</v>
      </c>
      <c r="C287" s="105" t="s">
        <v>773</v>
      </c>
      <c r="D287" s="105">
        <v>8335.2999999999993</v>
      </c>
      <c r="E287" s="105">
        <v>260.34999999999997</v>
      </c>
      <c r="K287" s="105" t="s">
        <v>113</v>
      </c>
      <c r="L287" s="105" t="s">
        <v>114</v>
      </c>
      <c r="M287" s="105" t="s">
        <v>146</v>
      </c>
      <c r="N287" s="105" t="s">
        <v>115</v>
      </c>
      <c r="O287" s="105" t="s">
        <v>149</v>
      </c>
      <c r="P287" s="105" t="s">
        <v>165</v>
      </c>
      <c r="Q287" s="105" t="s">
        <v>150</v>
      </c>
      <c r="R287" s="105" t="s">
        <v>245</v>
      </c>
      <c r="S287" s="105" t="s">
        <v>217</v>
      </c>
      <c r="T287" s="105" t="s">
        <v>124</v>
      </c>
      <c r="U287" s="105" t="s">
        <v>126</v>
      </c>
      <c r="V287" s="105" t="s">
        <v>321</v>
      </c>
      <c r="W287" s="105" t="s">
        <v>472</v>
      </c>
      <c r="X287" s="105" t="s">
        <v>79</v>
      </c>
      <c r="Y287" s="105" t="s">
        <v>528</v>
      </c>
      <c r="Z287" s="105" t="s">
        <v>768</v>
      </c>
      <c r="AA287" s="105" t="s">
        <v>154</v>
      </c>
    </row>
    <row r="288" spans="1:27" x14ac:dyDescent="0.2">
      <c r="C288" s="105" t="s">
        <v>774</v>
      </c>
      <c r="D288" s="105">
        <v>1078.9307086614174</v>
      </c>
      <c r="E288" s="105">
        <v>33.700000000000003</v>
      </c>
      <c r="K288" s="105">
        <v>282.51739406264198</v>
      </c>
      <c r="L288" s="105">
        <v>298.9992113126188</v>
      </c>
      <c r="M288" s="105">
        <v>314.5458801208909</v>
      </c>
      <c r="N288" s="105">
        <v>334.00885690414134</v>
      </c>
      <c r="O288" s="105">
        <v>349.06719084822117</v>
      </c>
      <c r="P288" s="105">
        <v>359.07941139453271</v>
      </c>
      <c r="Q288" s="105">
        <v>358.23901684956513</v>
      </c>
      <c r="R288" s="105">
        <v>366.64230611816794</v>
      </c>
      <c r="S288" s="105">
        <v>370.79450197720979</v>
      </c>
      <c r="T288" s="105">
        <v>373.60386889256353</v>
      </c>
      <c r="U288" s="105">
        <v>401.09422449370072</v>
      </c>
      <c r="V288" s="105">
        <v>433.56498365309841</v>
      </c>
      <c r="W288" s="105">
        <v>577.70227875053797</v>
      </c>
      <c r="X288" s="105">
        <v>113052.06948754541</v>
      </c>
      <c r="Y288" s="105">
        <v>114262.82276636391</v>
      </c>
      <c r="Z288" s="105">
        <v>114262.82276636391</v>
      </c>
      <c r="AA288" s="105">
        <v>115471.26984846084</v>
      </c>
    </row>
    <row r="289" spans="2:27" x14ac:dyDescent="0.2">
      <c r="C289" s="105" t="s">
        <v>775</v>
      </c>
      <c r="D289" s="105" t="s">
        <v>522</v>
      </c>
      <c r="E289" s="105" t="s">
        <v>483</v>
      </c>
      <c r="F289" s="105" t="s">
        <v>523</v>
      </c>
      <c r="G289" s="105" t="s">
        <v>107</v>
      </c>
      <c r="H289" s="105" t="s">
        <v>524</v>
      </c>
      <c r="I289" s="105" t="s">
        <v>525</v>
      </c>
      <c r="J289" s="105" t="s">
        <v>526</v>
      </c>
      <c r="K289" s="105" t="s">
        <v>112</v>
      </c>
      <c r="L289" s="105" t="s">
        <v>194</v>
      </c>
      <c r="M289" s="105" t="s">
        <v>114</v>
      </c>
      <c r="N289" s="105" t="s">
        <v>146</v>
      </c>
      <c r="O289" s="105" t="s">
        <v>148</v>
      </c>
      <c r="P289" s="105" t="s">
        <v>150</v>
      </c>
      <c r="Q289" s="105" t="s">
        <v>167</v>
      </c>
      <c r="R289" s="105" t="s">
        <v>116</v>
      </c>
      <c r="S289" s="105" t="s">
        <v>151</v>
      </c>
      <c r="T289" s="105" t="s">
        <v>126</v>
      </c>
      <c r="U289" s="105" t="s">
        <v>129</v>
      </c>
      <c r="V289" s="105" t="s">
        <v>195</v>
      </c>
      <c r="W289" s="105" t="s">
        <v>527</v>
      </c>
      <c r="X289" s="105" t="s">
        <v>79</v>
      </c>
      <c r="Y289" s="105" t="s">
        <v>528</v>
      </c>
      <c r="Z289" s="105" t="s">
        <v>529</v>
      </c>
      <c r="AA289" s="105" t="s">
        <v>345</v>
      </c>
    </row>
    <row r="290" spans="2:27" x14ac:dyDescent="0.2">
      <c r="C290" s="105" t="s">
        <v>776</v>
      </c>
      <c r="D290" s="105" t="s">
        <v>522</v>
      </c>
      <c r="E290" s="105" t="s">
        <v>483</v>
      </c>
      <c r="F290" s="105" t="s">
        <v>523</v>
      </c>
      <c r="G290" s="105" t="s">
        <v>107</v>
      </c>
      <c r="H290" s="105" t="s">
        <v>524</v>
      </c>
      <c r="I290" s="105" t="s">
        <v>525</v>
      </c>
      <c r="J290" s="105" t="s">
        <v>526</v>
      </c>
      <c r="K290" s="105" t="s">
        <v>112</v>
      </c>
      <c r="L290" s="105" t="s">
        <v>194</v>
      </c>
      <c r="M290" s="105" t="s">
        <v>114</v>
      </c>
      <c r="N290" s="105" t="s">
        <v>146</v>
      </c>
      <c r="O290" s="105" t="s">
        <v>148</v>
      </c>
      <c r="P290" s="105" t="s">
        <v>150</v>
      </c>
      <c r="Q290" s="105" t="s">
        <v>167</v>
      </c>
      <c r="R290" s="105" t="s">
        <v>116</v>
      </c>
      <c r="S290" s="105" t="s">
        <v>151</v>
      </c>
      <c r="T290" s="105" t="s">
        <v>126</v>
      </c>
      <c r="U290" s="105" t="s">
        <v>129</v>
      </c>
      <c r="V290" s="105" t="s">
        <v>195</v>
      </c>
      <c r="W290" s="105" t="s">
        <v>527</v>
      </c>
      <c r="X290" s="105" t="s">
        <v>79</v>
      </c>
      <c r="Y290" s="105" t="s">
        <v>528</v>
      </c>
      <c r="Z290" s="105" t="s">
        <v>529</v>
      </c>
      <c r="AA290" s="105" t="s">
        <v>345</v>
      </c>
    </row>
    <row r="292" spans="2:27" x14ac:dyDescent="0.2">
      <c r="D292" s="105" t="s">
        <v>47</v>
      </c>
      <c r="E292" s="105" t="s">
        <v>48</v>
      </c>
      <c r="F292" s="105" t="s">
        <v>49</v>
      </c>
      <c r="G292" s="105" t="s">
        <v>50</v>
      </c>
      <c r="H292" s="105" t="s">
        <v>51</v>
      </c>
      <c r="I292" s="105" t="s">
        <v>52</v>
      </c>
      <c r="J292" s="105" t="s">
        <v>53</v>
      </c>
      <c r="K292" s="105">
        <v>0.01</v>
      </c>
      <c r="L292" s="105">
        <v>0.05</v>
      </c>
      <c r="M292" s="105">
        <v>0.1</v>
      </c>
      <c r="N292" s="105">
        <v>0.2</v>
      </c>
      <c r="O292" s="105">
        <v>0.3</v>
      </c>
      <c r="P292" s="105">
        <v>0.4</v>
      </c>
      <c r="Q292" s="105">
        <v>0.5</v>
      </c>
      <c r="R292" s="105">
        <v>0.6</v>
      </c>
      <c r="S292" s="105">
        <v>0.7</v>
      </c>
      <c r="T292" s="105">
        <v>0.8</v>
      </c>
      <c r="U292" s="105">
        <v>0.9</v>
      </c>
      <c r="V292" s="105">
        <v>0.95</v>
      </c>
      <c r="W292" s="105">
        <v>0.99</v>
      </c>
      <c r="X292" s="105">
        <v>0.995</v>
      </c>
      <c r="Y292" s="105">
        <v>0.999</v>
      </c>
      <c r="Z292" s="105">
        <v>0.99950000000000006</v>
      </c>
      <c r="AA292" s="105">
        <v>0.99990000000000001</v>
      </c>
    </row>
    <row r="293" spans="2:27" x14ac:dyDescent="0.2">
      <c r="B293" s="105" t="s">
        <v>807</v>
      </c>
      <c r="C293" s="105" t="s">
        <v>772</v>
      </c>
      <c r="D293" s="105" t="s">
        <v>590</v>
      </c>
      <c r="E293" s="105" t="s">
        <v>591</v>
      </c>
      <c r="F293" s="105" t="s">
        <v>592</v>
      </c>
      <c r="G293" s="105" t="s">
        <v>95</v>
      </c>
      <c r="H293" s="105" t="s">
        <v>593</v>
      </c>
      <c r="I293" s="105" t="s">
        <v>594</v>
      </c>
      <c r="J293" s="105" t="s">
        <v>595</v>
      </c>
      <c r="K293" s="105" t="s">
        <v>81</v>
      </c>
      <c r="L293" s="105" t="s">
        <v>68</v>
      </c>
      <c r="M293" s="105" t="s">
        <v>68</v>
      </c>
      <c r="N293" s="105" t="s">
        <v>68</v>
      </c>
      <c r="O293" s="105" t="s">
        <v>68</v>
      </c>
      <c r="P293" s="105" t="s">
        <v>244</v>
      </c>
      <c r="Q293" s="105" t="s">
        <v>233</v>
      </c>
      <c r="R293" s="105" t="s">
        <v>111</v>
      </c>
      <c r="S293" s="105" t="s">
        <v>125</v>
      </c>
      <c r="T293" s="105" t="s">
        <v>152</v>
      </c>
      <c r="U293" s="105" t="s">
        <v>342</v>
      </c>
      <c r="V293" s="105" t="s">
        <v>263</v>
      </c>
      <c r="W293" s="105" t="s">
        <v>322</v>
      </c>
      <c r="X293" s="105" t="s">
        <v>596</v>
      </c>
      <c r="Y293" s="105" t="s">
        <v>597</v>
      </c>
      <c r="Z293" s="105" t="s">
        <v>597</v>
      </c>
      <c r="AA293" s="105" t="s">
        <v>597</v>
      </c>
    </row>
    <row r="294" spans="2:27" x14ac:dyDescent="0.2">
      <c r="C294" s="105" t="s">
        <v>773</v>
      </c>
      <c r="D294" s="105">
        <v>9002.4638554216872</v>
      </c>
      <c r="E294" s="105">
        <v>281.26164658634536</v>
      </c>
    </row>
    <row r="295" spans="2:27" x14ac:dyDescent="0.2">
      <c r="C295" s="105" t="s">
        <v>774</v>
      </c>
      <c r="D295" s="105">
        <v>2516.1949367088605</v>
      </c>
      <c r="E295" s="105">
        <v>78.63333333333334</v>
      </c>
    </row>
    <row r="296" spans="2:27" x14ac:dyDescent="0.2">
      <c r="C296" s="105" t="s">
        <v>775</v>
      </c>
      <c r="D296" s="105" t="s">
        <v>530</v>
      </c>
      <c r="E296" s="105" t="s">
        <v>501</v>
      </c>
      <c r="F296" s="105" t="s">
        <v>531</v>
      </c>
      <c r="G296" s="105" t="s">
        <v>181</v>
      </c>
      <c r="H296" s="105" t="s">
        <v>532</v>
      </c>
      <c r="I296" s="105" t="s">
        <v>533</v>
      </c>
      <c r="J296" s="105" t="s">
        <v>534</v>
      </c>
      <c r="K296" s="105" t="s">
        <v>110</v>
      </c>
      <c r="L296" s="105" t="s">
        <v>77</v>
      </c>
      <c r="M296" s="105" t="s">
        <v>194</v>
      </c>
      <c r="N296" s="105" t="s">
        <v>146</v>
      </c>
      <c r="O296" s="105" t="s">
        <v>148</v>
      </c>
      <c r="P296" s="105" t="s">
        <v>165</v>
      </c>
      <c r="Q296" s="105" t="s">
        <v>166</v>
      </c>
      <c r="R296" s="105" t="s">
        <v>217</v>
      </c>
      <c r="S296" s="105" t="s">
        <v>116</v>
      </c>
      <c r="T296" s="105" t="s">
        <v>258</v>
      </c>
      <c r="U296" s="105" t="s">
        <v>117</v>
      </c>
      <c r="V296" s="105" t="s">
        <v>131</v>
      </c>
      <c r="W296" s="105" t="s">
        <v>472</v>
      </c>
      <c r="X296" s="105" t="s">
        <v>79</v>
      </c>
      <c r="Y296" s="105" t="s">
        <v>535</v>
      </c>
      <c r="Z296" s="105" t="s">
        <v>536</v>
      </c>
      <c r="AA296" s="105" t="s">
        <v>537</v>
      </c>
    </row>
    <row r="297" spans="2:27" x14ac:dyDescent="0.2">
      <c r="C297" s="105" t="s">
        <v>776</v>
      </c>
      <c r="D297" s="105" t="s">
        <v>530</v>
      </c>
      <c r="E297" s="105" t="s">
        <v>501</v>
      </c>
      <c r="F297" s="105" t="s">
        <v>531</v>
      </c>
      <c r="G297" s="105" t="s">
        <v>181</v>
      </c>
      <c r="H297" s="105" t="s">
        <v>532</v>
      </c>
      <c r="I297" s="105" t="s">
        <v>533</v>
      </c>
      <c r="J297" s="105" t="s">
        <v>534</v>
      </c>
      <c r="K297" s="105" t="s">
        <v>110</v>
      </c>
      <c r="L297" s="105" t="s">
        <v>77</v>
      </c>
      <c r="M297" s="105" t="s">
        <v>194</v>
      </c>
      <c r="N297" s="105" t="s">
        <v>146</v>
      </c>
      <c r="O297" s="105" t="s">
        <v>148</v>
      </c>
      <c r="P297" s="105" t="s">
        <v>165</v>
      </c>
      <c r="Q297" s="105" t="s">
        <v>166</v>
      </c>
      <c r="R297" s="105" t="s">
        <v>217</v>
      </c>
      <c r="S297" s="105" t="s">
        <v>116</v>
      </c>
      <c r="T297" s="105" t="s">
        <v>258</v>
      </c>
      <c r="U297" s="105" t="s">
        <v>117</v>
      </c>
      <c r="V297" s="105" t="s">
        <v>131</v>
      </c>
      <c r="W297" s="105" t="s">
        <v>472</v>
      </c>
      <c r="X297" s="105" t="s">
        <v>79</v>
      </c>
      <c r="Y297" s="105" t="s">
        <v>535</v>
      </c>
      <c r="Z297" s="105" t="s">
        <v>536</v>
      </c>
      <c r="AA297" s="105" t="s">
        <v>537</v>
      </c>
    </row>
    <row r="299" spans="2:27" x14ac:dyDescent="0.2">
      <c r="D299" s="105" t="s">
        <v>47</v>
      </c>
      <c r="E299" s="105" t="s">
        <v>48</v>
      </c>
      <c r="F299" s="105" t="s">
        <v>49</v>
      </c>
      <c r="G299" s="105" t="s">
        <v>50</v>
      </c>
      <c r="H299" s="105" t="s">
        <v>51</v>
      </c>
      <c r="I299" s="105" t="s">
        <v>52</v>
      </c>
      <c r="J299" s="105" t="s">
        <v>53</v>
      </c>
      <c r="K299" s="105">
        <v>0.01</v>
      </c>
      <c r="L299" s="105">
        <v>0.05</v>
      </c>
      <c r="M299" s="105">
        <v>0.1</v>
      </c>
      <c r="N299" s="105">
        <v>0.2</v>
      </c>
      <c r="O299" s="105">
        <v>0.3</v>
      </c>
      <c r="P299" s="105">
        <v>0.4</v>
      </c>
      <c r="Q299" s="105">
        <v>0.5</v>
      </c>
      <c r="R299" s="105">
        <v>0.6</v>
      </c>
      <c r="S299" s="105">
        <v>0.7</v>
      </c>
      <c r="T299" s="105">
        <v>0.8</v>
      </c>
      <c r="U299" s="105">
        <v>0.9</v>
      </c>
      <c r="V299" s="105">
        <v>0.95</v>
      </c>
      <c r="W299" s="105">
        <v>0.99</v>
      </c>
      <c r="X299" s="105">
        <v>0.995</v>
      </c>
      <c r="Y299" s="105">
        <v>0.999</v>
      </c>
      <c r="Z299" s="105">
        <v>0.99950000000000006</v>
      </c>
      <c r="AA299" s="105">
        <v>0.99990000000000001</v>
      </c>
    </row>
    <row r="300" spans="2:27" x14ac:dyDescent="0.2">
      <c r="B300" s="105" t="s">
        <v>807</v>
      </c>
      <c r="C300" s="105" t="s">
        <v>772</v>
      </c>
      <c r="D300" s="105">
        <v>2688</v>
      </c>
      <c r="E300" s="105">
        <v>84</v>
      </c>
    </row>
    <row r="301" spans="2:27" x14ac:dyDescent="0.2">
      <c r="C301" s="105" t="s">
        <v>773</v>
      </c>
      <c r="D301" s="105">
        <v>9554.566782014319</v>
      </c>
      <c r="E301" s="105">
        <v>299.06301662345584</v>
      </c>
    </row>
    <row r="302" spans="2:27" x14ac:dyDescent="0.2">
      <c r="C302" s="105" t="s">
        <v>774</v>
      </c>
      <c r="D302" s="105">
        <v>3734.4000000000005</v>
      </c>
      <c r="E302" s="105">
        <v>116.65384615384617</v>
      </c>
    </row>
    <row r="303" spans="2:27" x14ac:dyDescent="0.2">
      <c r="C303" s="105" t="s">
        <v>775</v>
      </c>
      <c r="D303" s="105" t="s">
        <v>538</v>
      </c>
      <c r="E303" s="105" t="s">
        <v>539</v>
      </c>
      <c r="F303" s="105" t="s">
        <v>540</v>
      </c>
      <c r="G303" s="105" t="s">
        <v>181</v>
      </c>
      <c r="H303" s="105" t="s">
        <v>541</v>
      </c>
      <c r="I303" s="105" t="s">
        <v>542</v>
      </c>
      <c r="J303" s="105" t="s">
        <v>543</v>
      </c>
      <c r="K303" s="105" t="s">
        <v>110</v>
      </c>
      <c r="L303" s="105" t="s">
        <v>112</v>
      </c>
      <c r="M303" s="105" t="s">
        <v>113</v>
      </c>
      <c r="N303" s="105" t="s">
        <v>194</v>
      </c>
      <c r="O303" s="105" t="s">
        <v>146</v>
      </c>
      <c r="P303" s="105" t="s">
        <v>115</v>
      </c>
      <c r="Q303" s="105" t="s">
        <v>149</v>
      </c>
      <c r="R303" s="105" t="s">
        <v>150</v>
      </c>
      <c r="S303" s="105" t="s">
        <v>245</v>
      </c>
      <c r="T303" s="105" t="s">
        <v>217</v>
      </c>
      <c r="U303" s="105" t="s">
        <v>151</v>
      </c>
      <c r="V303" s="105" t="s">
        <v>78</v>
      </c>
      <c r="W303" s="105" t="s">
        <v>264</v>
      </c>
      <c r="X303" s="105" t="s">
        <v>79</v>
      </c>
      <c r="Y303" s="105" t="s">
        <v>535</v>
      </c>
      <c r="Z303" s="105" t="s">
        <v>544</v>
      </c>
      <c r="AA303" s="105" t="s">
        <v>154</v>
      </c>
    </row>
    <row r="304" spans="2:27" x14ac:dyDescent="0.2">
      <c r="C304" s="105" t="s">
        <v>776</v>
      </c>
      <c r="D304" s="105" t="s">
        <v>538</v>
      </c>
      <c r="E304" s="105" t="s">
        <v>539</v>
      </c>
      <c r="F304" s="105" t="s">
        <v>540</v>
      </c>
      <c r="G304" s="105" t="s">
        <v>181</v>
      </c>
      <c r="H304" s="105" t="s">
        <v>541</v>
      </c>
      <c r="I304" s="105" t="s">
        <v>542</v>
      </c>
      <c r="J304" s="105" t="s">
        <v>543</v>
      </c>
      <c r="K304" s="105" t="s">
        <v>110</v>
      </c>
      <c r="L304" s="105" t="s">
        <v>112</v>
      </c>
      <c r="M304" s="105" t="s">
        <v>113</v>
      </c>
      <c r="N304" s="105" t="s">
        <v>194</v>
      </c>
      <c r="O304" s="105" t="s">
        <v>146</v>
      </c>
      <c r="P304" s="105" t="s">
        <v>115</v>
      </c>
      <c r="Q304" s="105" t="s">
        <v>149</v>
      </c>
      <c r="R304" s="105" t="s">
        <v>150</v>
      </c>
      <c r="S304" s="105" t="s">
        <v>245</v>
      </c>
      <c r="T304" s="105" t="s">
        <v>217</v>
      </c>
      <c r="U304" s="105" t="s">
        <v>151</v>
      </c>
      <c r="V304" s="105" t="s">
        <v>78</v>
      </c>
      <c r="W304" s="105" t="s">
        <v>264</v>
      </c>
      <c r="X304" s="105" t="s">
        <v>79</v>
      </c>
      <c r="Y304" s="105" t="s">
        <v>535</v>
      </c>
      <c r="Z304" s="105" t="s">
        <v>544</v>
      </c>
      <c r="AA304" s="105" t="s">
        <v>154</v>
      </c>
    </row>
    <row r="306" spans="2:27" x14ac:dyDescent="0.2">
      <c r="D306" s="105" t="s">
        <v>47</v>
      </c>
      <c r="E306" s="105" t="s">
        <v>48</v>
      </c>
      <c r="F306" s="105" t="s">
        <v>49</v>
      </c>
      <c r="G306" s="105" t="s">
        <v>50</v>
      </c>
      <c r="H306" s="105" t="s">
        <v>51</v>
      </c>
      <c r="I306" s="105" t="s">
        <v>52</v>
      </c>
      <c r="J306" s="105" t="s">
        <v>53</v>
      </c>
      <c r="K306" s="105">
        <v>0.01</v>
      </c>
      <c r="L306" s="105">
        <v>0.05</v>
      </c>
      <c r="M306" s="105">
        <v>0.1</v>
      </c>
      <c r="N306" s="105">
        <v>0.2</v>
      </c>
      <c r="O306" s="105">
        <v>0.3</v>
      </c>
      <c r="P306" s="105">
        <v>0.4</v>
      </c>
      <c r="Q306" s="105">
        <v>0.5</v>
      </c>
      <c r="R306" s="105">
        <v>0.6</v>
      </c>
      <c r="S306" s="105">
        <v>0.7</v>
      </c>
      <c r="T306" s="105">
        <v>0.8</v>
      </c>
      <c r="U306" s="105">
        <v>0.9</v>
      </c>
      <c r="V306" s="105">
        <v>0.95</v>
      </c>
      <c r="W306" s="105">
        <v>0.99</v>
      </c>
      <c r="X306" s="105">
        <v>0.995</v>
      </c>
      <c r="Y306" s="105">
        <v>0.999</v>
      </c>
      <c r="Z306" s="105">
        <v>0.99950000000000006</v>
      </c>
      <c r="AA306" s="105">
        <v>0.99990000000000001</v>
      </c>
    </row>
    <row r="307" spans="2:27" x14ac:dyDescent="0.2">
      <c r="B307" s="105" t="s">
        <v>807</v>
      </c>
      <c r="C307" s="105" t="s">
        <v>772</v>
      </c>
      <c r="D307" s="105">
        <v>2690</v>
      </c>
      <c r="E307" s="105">
        <v>84.1</v>
      </c>
    </row>
    <row r="308" spans="2:27" x14ac:dyDescent="0.2">
      <c r="C308" s="105" t="s">
        <v>773</v>
      </c>
      <c r="D308" s="105">
        <v>11038.532842809362</v>
      </c>
      <c r="E308" s="105">
        <v>344.80999999999989</v>
      </c>
    </row>
    <row r="309" spans="2:27" x14ac:dyDescent="0.2">
      <c r="C309" s="105" t="s">
        <v>774</v>
      </c>
      <c r="D309" s="105">
        <v>4870.8214285714284</v>
      </c>
      <c r="E309" s="105">
        <v>152.08205128205128</v>
      </c>
    </row>
    <row r="310" spans="2:27" x14ac:dyDescent="0.2">
      <c r="C310" s="105" t="s">
        <v>775</v>
      </c>
      <c r="D310" s="105" t="s">
        <v>545</v>
      </c>
      <c r="E310" s="105" t="s">
        <v>546</v>
      </c>
      <c r="F310" s="105" t="s">
        <v>547</v>
      </c>
      <c r="G310" s="105" t="s">
        <v>108</v>
      </c>
      <c r="H310" s="105" t="s">
        <v>548</v>
      </c>
      <c r="I310" s="105" t="s">
        <v>549</v>
      </c>
      <c r="J310" s="105" t="s">
        <v>550</v>
      </c>
      <c r="K310" s="105" t="s">
        <v>112</v>
      </c>
      <c r="L310" s="105" t="s">
        <v>114</v>
      </c>
      <c r="M310" s="105" t="s">
        <v>207</v>
      </c>
      <c r="N310" s="105" t="s">
        <v>115</v>
      </c>
      <c r="O310" s="105" t="s">
        <v>149</v>
      </c>
      <c r="P310" s="105" t="s">
        <v>165</v>
      </c>
      <c r="Q310" s="105" t="s">
        <v>166</v>
      </c>
      <c r="R310" s="105" t="s">
        <v>245</v>
      </c>
      <c r="S310" s="105" t="s">
        <v>217</v>
      </c>
      <c r="T310" s="105" t="s">
        <v>124</v>
      </c>
      <c r="U310" s="105" t="s">
        <v>237</v>
      </c>
      <c r="V310" s="105" t="s">
        <v>130</v>
      </c>
      <c r="W310" s="105" t="s">
        <v>322</v>
      </c>
      <c r="X310" s="105" t="s">
        <v>79</v>
      </c>
      <c r="Y310" s="105" t="s">
        <v>551</v>
      </c>
      <c r="Z310" s="105" t="s">
        <v>552</v>
      </c>
      <c r="AA310" s="105" t="s">
        <v>154</v>
      </c>
    </row>
    <row r="311" spans="2:27" x14ac:dyDescent="0.2">
      <c r="C311" s="105" t="s">
        <v>776</v>
      </c>
      <c r="D311" s="105" t="s">
        <v>545</v>
      </c>
      <c r="E311" s="105" t="s">
        <v>546</v>
      </c>
      <c r="F311" s="105" t="s">
        <v>547</v>
      </c>
      <c r="G311" s="105" t="s">
        <v>108</v>
      </c>
      <c r="H311" s="105" t="s">
        <v>548</v>
      </c>
      <c r="I311" s="105" t="s">
        <v>549</v>
      </c>
      <c r="J311" s="105" t="s">
        <v>550</v>
      </c>
      <c r="K311" s="105" t="s">
        <v>112</v>
      </c>
      <c r="L311" s="105" t="s">
        <v>114</v>
      </c>
      <c r="M311" s="105" t="s">
        <v>207</v>
      </c>
      <c r="N311" s="105" t="s">
        <v>115</v>
      </c>
      <c r="O311" s="105" t="s">
        <v>149</v>
      </c>
      <c r="P311" s="105" t="s">
        <v>165</v>
      </c>
      <c r="Q311" s="105" t="s">
        <v>166</v>
      </c>
      <c r="R311" s="105" t="s">
        <v>245</v>
      </c>
      <c r="S311" s="105" t="s">
        <v>217</v>
      </c>
      <c r="T311" s="105" t="s">
        <v>124</v>
      </c>
      <c r="U311" s="105" t="s">
        <v>237</v>
      </c>
      <c r="V311" s="105" t="s">
        <v>130</v>
      </c>
      <c r="W311" s="105" t="s">
        <v>322</v>
      </c>
      <c r="X311" s="105" t="s">
        <v>79</v>
      </c>
      <c r="Y311" s="105" t="s">
        <v>551</v>
      </c>
      <c r="Z311" s="105" t="s">
        <v>552</v>
      </c>
      <c r="AA311" s="105" t="s">
        <v>154</v>
      </c>
    </row>
    <row r="314" spans="2:27" x14ac:dyDescent="0.2">
      <c r="D314" s="105" t="s">
        <v>47</v>
      </c>
      <c r="E314" s="105" t="s">
        <v>48</v>
      </c>
      <c r="F314" s="105" t="s">
        <v>49</v>
      </c>
      <c r="G314" s="105" t="s">
        <v>50</v>
      </c>
      <c r="H314" s="105" t="s">
        <v>51</v>
      </c>
      <c r="I314" s="105" t="s">
        <v>52</v>
      </c>
      <c r="J314" s="105" t="s">
        <v>53</v>
      </c>
      <c r="K314" s="105">
        <v>0.01</v>
      </c>
      <c r="L314" s="105">
        <v>0.05</v>
      </c>
      <c r="M314" s="105">
        <v>0.1</v>
      </c>
      <c r="N314" s="105">
        <v>0.2</v>
      </c>
      <c r="O314" s="105">
        <v>0.3</v>
      </c>
      <c r="P314" s="105">
        <v>0.4</v>
      </c>
      <c r="Q314" s="105">
        <v>0.5</v>
      </c>
      <c r="R314" s="105">
        <v>0.6</v>
      </c>
      <c r="S314" s="105">
        <v>0.7</v>
      </c>
      <c r="T314" s="105">
        <v>0.8</v>
      </c>
      <c r="U314" s="105">
        <v>0.9</v>
      </c>
      <c r="V314" s="105">
        <v>0.95</v>
      </c>
      <c r="W314" s="105">
        <v>0.99</v>
      </c>
      <c r="X314" s="105">
        <v>0.995</v>
      </c>
      <c r="Y314" s="105">
        <v>0.999</v>
      </c>
      <c r="Z314" s="105">
        <v>0.99950000000000006</v>
      </c>
      <c r="AA314" s="105">
        <v>0.99990000000000001</v>
      </c>
    </row>
    <row r="315" spans="2:27" x14ac:dyDescent="0.2">
      <c r="B315" s="105" t="s">
        <v>718</v>
      </c>
      <c r="C315" s="105" t="s">
        <v>772</v>
      </c>
      <c r="D315" s="105">
        <v>28.2</v>
      </c>
      <c r="E315" s="105">
        <v>883</v>
      </c>
      <c r="F315" s="105">
        <v>926</v>
      </c>
      <c r="G315" s="105" t="s">
        <v>82</v>
      </c>
      <c r="H315" s="105" t="s">
        <v>83</v>
      </c>
      <c r="I315" s="105" t="s">
        <v>84</v>
      </c>
      <c r="J315" s="105" t="s">
        <v>85</v>
      </c>
      <c r="K315" s="105" t="s">
        <v>68</v>
      </c>
      <c r="L315" s="105" t="s">
        <v>86</v>
      </c>
      <c r="M315" s="105" t="s">
        <v>86</v>
      </c>
      <c r="N315" s="105" t="s">
        <v>87</v>
      </c>
      <c r="O315" s="105" t="s">
        <v>87</v>
      </c>
      <c r="P315" s="105" t="s">
        <v>88</v>
      </c>
      <c r="Q315" s="105" t="s">
        <v>89</v>
      </c>
      <c r="R315" s="105" t="s">
        <v>242</v>
      </c>
      <c r="S315" s="105" t="s">
        <v>243</v>
      </c>
      <c r="T315" s="105" t="s">
        <v>252</v>
      </c>
      <c r="U315" s="105" t="s">
        <v>254</v>
      </c>
      <c r="V315" s="105" t="s">
        <v>75</v>
      </c>
      <c r="W315" s="105" t="s">
        <v>108</v>
      </c>
      <c r="X315" s="105" t="s">
        <v>111</v>
      </c>
      <c r="Y315" s="105" t="s">
        <v>168</v>
      </c>
      <c r="Z315" s="105" t="s">
        <v>227</v>
      </c>
      <c r="AA315" s="105" t="s">
        <v>425</v>
      </c>
    </row>
    <row r="316" spans="2:27" x14ac:dyDescent="0.2">
      <c r="C316" s="105" t="s">
        <v>773</v>
      </c>
      <c r="D316" s="105">
        <v>35.799999999999997</v>
      </c>
      <c r="E316" s="105">
        <v>1122</v>
      </c>
      <c r="G316" s="105" t="s">
        <v>268</v>
      </c>
      <c r="H316" s="105" t="s">
        <v>755</v>
      </c>
      <c r="I316" s="105" t="s">
        <v>756</v>
      </c>
      <c r="K316" s="105" t="s">
        <v>251</v>
      </c>
      <c r="L316" s="105" t="s">
        <v>251</v>
      </c>
      <c r="M316" s="105" t="s">
        <v>251</v>
      </c>
      <c r="N316" s="105" t="s">
        <v>96</v>
      </c>
      <c r="O316" s="105" t="s">
        <v>96</v>
      </c>
      <c r="P316" s="105" t="s">
        <v>98</v>
      </c>
      <c r="Q316" s="105" t="s">
        <v>82</v>
      </c>
      <c r="R316" s="105" t="s">
        <v>81</v>
      </c>
      <c r="S316" s="105" t="s">
        <v>86</v>
      </c>
      <c r="T316" s="105" t="s">
        <v>86</v>
      </c>
      <c r="U316" s="105" t="s">
        <v>87</v>
      </c>
      <c r="V316" s="105" t="s">
        <v>252</v>
      </c>
      <c r="W316" s="105" t="s">
        <v>75</v>
      </c>
      <c r="X316" s="105" t="s">
        <v>233</v>
      </c>
      <c r="Y316" s="105" t="s">
        <v>165</v>
      </c>
      <c r="Z316" s="105" t="s">
        <v>217</v>
      </c>
      <c r="AA316" s="105" t="s">
        <v>755</v>
      </c>
    </row>
    <row r="317" spans="2:27" x14ac:dyDescent="0.2">
      <c r="C317" s="105" t="s">
        <v>774</v>
      </c>
      <c r="D317" s="105">
        <v>14.981449603624011</v>
      </c>
      <c r="E317" s="105">
        <v>469.1</v>
      </c>
      <c r="K317" s="105">
        <v>54.586295827206598</v>
      </c>
      <c r="L317" s="105">
        <v>56.468581890213727</v>
      </c>
      <c r="M317" s="105">
        <v>56.468581890213727</v>
      </c>
      <c r="N317" s="105">
        <v>58.350867953220849</v>
      </c>
      <c r="O317" s="105">
        <v>58.350867953220849</v>
      </c>
      <c r="P317" s="105">
        <v>60.233154016227971</v>
      </c>
      <c r="Q317" s="105">
        <v>62.1154400792351</v>
      </c>
      <c r="R317" s="105">
        <v>63.997726142242222</v>
      </c>
      <c r="S317" s="105">
        <v>65.880012205249344</v>
      </c>
      <c r="T317" s="105">
        <v>67.762298268256473</v>
      </c>
      <c r="U317" s="105">
        <v>71.526870394270716</v>
      </c>
      <c r="V317" s="105">
        <v>88.467444961334834</v>
      </c>
      <c r="W317" s="105">
        <v>114.81944984343458</v>
      </c>
      <c r="X317" s="105">
        <v>235.19164357279897</v>
      </c>
      <c r="Y317" s="105">
        <v>297.58942656150072</v>
      </c>
      <c r="Z317" s="105">
        <v>358.78725218503513</v>
      </c>
      <c r="AA317" s="105">
        <v>608.37838413984218</v>
      </c>
    </row>
    <row r="318" spans="2:27" x14ac:dyDescent="0.2">
      <c r="C318" s="105" t="s">
        <v>775</v>
      </c>
      <c r="D318" s="105">
        <v>27.830706628500003</v>
      </c>
      <c r="E318" s="105">
        <v>870.21085567500006</v>
      </c>
      <c r="G318" s="105" t="s">
        <v>268</v>
      </c>
      <c r="H318" s="105" t="s">
        <v>721</v>
      </c>
      <c r="I318" s="105" t="s">
        <v>757</v>
      </c>
      <c r="J318" s="105" t="s">
        <v>758</v>
      </c>
      <c r="K318" s="105" t="s">
        <v>251</v>
      </c>
      <c r="L318" s="105" t="s">
        <v>96</v>
      </c>
      <c r="M318" s="105" t="s">
        <v>97</v>
      </c>
      <c r="N318" s="105" t="s">
        <v>82</v>
      </c>
      <c r="O318" s="105" t="s">
        <v>82</v>
      </c>
      <c r="P318" s="105" t="s">
        <v>241</v>
      </c>
      <c r="Q318" s="105" t="s">
        <v>241</v>
      </c>
      <c r="R318" s="105" t="s">
        <v>81</v>
      </c>
      <c r="S318" s="105" t="s">
        <v>81</v>
      </c>
      <c r="T318" s="105" t="s">
        <v>87</v>
      </c>
      <c r="U318" s="105" t="s">
        <v>243</v>
      </c>
      <c r="V318" s="105" t="s">
        <v>456</v>
      </c>
      <c r="W318" s="105" t="s">
        <v>328</v>
      </c>
      <c r="X318" s="105" t="s">
        <v>651</v>
      </c>
      <c r="Y318" s="105" t="s">
        <v>382</v>
      </c>
      <c r="Z318" s="105" t="s">
        <v>726</v>
      </c>
      <c r="AA318" s="105" t="s">
        <v>726</v>
      </c>
    </row>
    <row r="319" spans="2:27" x14ac:dyDescent="0.2">
      <c r="C319" s="105" t="s">
        <v>776</v>
      </c>
      <c r="D319" s="105">
        <v>34.700000000000003</v>
      </c>
      <c r="E319" s="105" t="s">
        <v>396</v>
      </c>
      <c r="F319" s="105" t="s">
        <v>553</v>
      </c>
      <c r="G319" s="105" t="s">
        <v>94</v>
      </c>
      <c r="H319" s="105" t="s">
        <v>410</v>
      </c>
      <c r="I319" s="105" t="s">
        <v>573</v>
      </c>
      <c r="K319" s="105" t="s">
        <v>251</v>
      </c>
      <c r="L319" s="105" t="s">
        <v>251</v>
      </c>
      <c r="M319" s="105" t="s">
        <v>96</v>
      </c>
      <c r="N319" s="105" t="s">
        <v>96</v>
      </c>
      <c r="O319" s="105" t="s">
        <v>98</v>
      </c>
      <c r="P319" s="105" t="s">
        <v>241</v>
      </c>
      <c r="Q319" s="105" t="s">
        <v>68</v>
      </c>
      <c r="R319" s="105" t="s">
        <v>86</v>
      </c>
      <c r="S319" s="105" t="s">
        <v>86</v>
      </c>
      <c r="T319" s="105" t="s">
        <v>86</v>
      </c>
      <c r="U319" s="105" t="s">
        <v>88</v>
      </c>
      <c r="V319" s="105" t="s">
        <v>243</v>
      </c>
      <c r="W319" s="105" t="s">
        <v>74</v>
      </c>
      <c r="X319" s="105" t="s">
        <v>378</v>
      </c>
      <c r="Y319" s="105" t="s">
        <v>111</v>
      </c>
      <c r="Z319" s="105" t="s">
        <v>207</v>
      </c>
      <c r="AA319" s="105" t="s">
        <v>380</v>
      </c>
    </row>
    <row r="321" spans="2:27" x14ac:dyDescent="0.2">
      <c r="D321" s="105" t="s">
        <v>47</v>
      </c>
      <c r="E321" s="105" t="s">
        <v>48</v>
      </c>
      <c r="F321" s="105" t="s">
        <v>49</v>
      </c>
      <c r="G321" s="105" t="s">
        <v>50</v>
      </c>
      <c r="H321" s="105" t="s">
        <v>51</v>
      </c>
      <c r="I321" s="105" t="s">
        <v>52</v>
      </c>
      <c r="J321" s="105" t="s">
        <v>53</v>
      </c>
      <c r="K321" s="105">
        <v>0.01</v>
      </c>
      <c r="L321" s="105">
        <v>0.05</v>
      </c>
      <c r="M321" s="105">
        <v>0.1</v>
      </c>
      <c r="N321" s="105">
        <v>0.2</v>
      </c>
      <c r="O321" s="105">
        <v>0.3</v>
      </c>
      <c r="P321" s="105">
        <v>0.4</v>
      </c>
      <c r="Q321" s="105">
        <v>0.5</v>
      </c>
      <c r="R321" s="105">
        <v>0.6</v>
      </c>
      <c r="S321" s="105">
        <v>0.7</v>
      </c>
      <c r="T321" s="105">
        <v>0.8</v>
      </c>
      <c r="U321" s="105">
        <v>0.9</v>
      </c>
      <c r="V321" s="105">
        <v>0.95</v>
      </c>
      <c r="W321" s="105">
        <v>0.99</v>
      </c>
      <c r="X321" s="105">
        <v>0.995</v>
      </c>
      <c r="Y321" s="105">
        <v>0.999</v>
      </c>
      <c r="Z321" s="105">
        <v>0.99950000000000006</v>
      </c>
      <c r="AA321" s="105">
        <v>0.99990000000000001</v>
      </c>
    </row>
    <row r="322" spans="2:27" x14ac:dyDescent="0.2">
      <c r="B322" s="105" t="s">
        <v>718</v>
      </c>
      <c r="C322" s="105" t="s">
        <v>772</v>
      </c>
      <c r="D322" s="105">
        <v>37.4</v>
      </c>
      <c r="E322" s="105" t="s">
        <v>598</v>
      </c>
      <c r="F322" s="105" t="s">
        <v>599</v>
      </c>
      <c r="G322" s="105" t="s">
        <v>452</v>
      </c>
      <c r="H322" s="105" t="s">
        <v>600</v>
      </c>
      <c r="I322" s="105" t="s">
        <v>601</v>
      </c>
      <c r="K322" s="105" t="s">
        <v>95</v>
      </c>
      <c r="L322" s="105" t="s">
        <v>95</v>
      </c>
      <c r="M322" s="105" t="s">
        <v>251</v>
      </c>
      <c r="N322" s="105" t="s">
        <v>251</v>
      </c>
      <c r="O322" s="105" t="s">
        <v>96</v>
      </c>
      <c r="P322" s="105" t="s">
        <v>96</v>
      </c>
      <c r="Q322" s="105" t="s">
        <v>97</v>
      </c>
      <c r="R322" s="105" t="s">
        <v>82</v>
      </c>
      <c r="S322" s="105" t="s">
        <v>68</v>
      </c>
      <c r="T322" s="105" t="s">
        <v>86</v>
      </c>
      <c r="U322" s="105" t="s">
        <v>87</v>
      </c>
      <c r="V322" s="105" t="s">
        <v>244</v>
      </c>
      <c r="W322" s="105" t="s">
        <v>74</v>
      </c>
      <c r="X322" s="105" t="s">
        <v>233</v>
      </c>
      <c r="Y322" s="105" t="s">
        <v>110</v>
      </c>
      <c r="Z322" s="105" t="s">
        <v>207</v>
      </c>
      <c r="AA322" s="105" t="s">
        <v>425</v>
      </c>
    </row>
    <row r="323" spans="2:27" x14ac:dyDescent="0.2">
      <c r="C323" s="105" t="s">
        <v>773</v>
      </c>
      <c r="D323" s="105">
        <v>44.156129032258065</v>
      </c>
      <c r="E323" s="105">
        <v>1378.4571428571428</v>
      </c>
      <c r="K323" s="105" t="s">
        <v>96</v>
      </c>
      <c r="L323" s="105" t="s">
        <v>82</v>
      </c>
      <c r="M323" s="105" t="s">
        <v>81</v>
      </c>
      <c r="N323" s="105" t="s">
        <v>86</v>
      </c>
      <c r="O323" s="105" t="s">
        <v>242</v>
      </c>
      <c r="P323" s="105" t="s">
        <v>244</v>
      </c>
      <c r="Q323" s="105" t="s">
        <v>69</v>
      </c>
      <c r="R323" s="105" t="s">
        <v>71</v>
      </c>
      <c r="S323" s="105" t="s">
        <v>72</v>
      </c>
      <c r="T323" s="105" t="s">
        <v>301</v>
      </c>
      <c r="U323" s="105" t="s">
        <v>233</v>
      </c>
      <c r="V323" s="105" t="s">
        <v>223</v>
      </c>
      <c r="W323" s="105" t="s">
        <v>194</v>
      </c>
      <c r="X323" s="105" t="s">
        <v>147</v>
      </c>
      <c r="Y323" s="105" t="s">
        <v>151</v>
      </c>
      <c r="Z323" s="105" t="s">
        <v>126</v>
      </c>
      <c r="AA323" s="105" t="s">
        <v>527</v>
      </c>
    </row>
    <row r="324" spans="2:27" x14ac:dyDescent="0.2">
      <c r="C324" s="105" t="s">
        <v>774</v>
      </c>
      <c r="D324" s="105">
        <v>30.166059366980321</v>
      </c>
      <c r="E324" s="105">
        <v>942.89099999999996</v>
      </c>
    </row>
    <row r="325" spans="2:27" x14ac:dyDescent="0.2">
      <c r="C325" s="105" t="s">
        <v>775</v>
      </c>
      <c r="D325" s="105">
        <v>34.247007868500006</v>
      </c>
      <c r="E325" s="105">
        <v>1069.1161941150001</v>
      </c>
    </row>
    <row r="326" spans="2:27" x14ac:dyDescent="0.2">
      <c r="C326" s="105" t="s">
        <v>776</v>
      </c>
      <c r="D326" s="105">
        <v>42.7</v>
      </c>
      <c r="E326" s="105" t="s">
        <v>574</v>
      </c>
      <c r="F326" s="105" t="s">
        <v>575</v>
      </c>
      <c r="G326" s="105" t="s">
        <v>268</v>
      </c>
      <c r="H326" s="105" t="s">
        <v>576</v>
      </c>
      <c r="I326" s="105" t="s">
        <v>577</v>
      </c>
      <c r="J326" s="105" t="s">
        <v>578</v>
      </c>
      <c r="K326" s="105" t="s">
        <v>251</v>
      </c>
      <c r="L326" s="105" t="s">
        <v>82</v>
      </c>
      <c r="M326" s="105" t="s">
        <v>81</v>
      </c>
      <c r="N326" s="105" t="s">
        <v>68</v>
      </c>
      <c r="O326" s="105" t="s">
        <v>242</v>
      </c>
      <c r="P326" s="105" t="s">
        <v>243</v>
      </c>
      <c r="Q326" s="105" t="s">
        <v>244</v>
      </c>
      <c r="R326" s="105" t="s">
        <v>71</v>
      </c>
      <c r="S326" s="105" t="s">
        <v>72</v>
      </c>
      <c r="T326" s="105" t="s">
        <v>73</v>
      </c>
      <c r="U326" s="105" t="s">
        <v>75</v>
      </c>
      <c r="V326" s="105" t="s">
        <v>106</v>
      </c>
      <c r="W326" s="105" t="s">
        <v>194</v>
      </c>
      <c r="X326" s="105" t="s">
        <v>148</v>
      </c>
      <c r="Y326" s="105" t="s">
        <v>125</v>
      </c>
      <c r="Z326" s="105" t="s">
        <v>127</v>
      </c>
      <c r="AA326" s="105" t="s">
        <v>183</v>
      </c>
    </row>
    <row r="328" spans="2:27" x14ac:dyDescent="0.2">
      <c r="D328" s="105" t="s">
        <v>47</v>
      </c>
      <c r="E328" s="105" t="s">
        <v>48</v>
      </c>
      <c r="F328" s="105" t="s">
        <v>49</v>
      </c>
      <c r="G328" s="105" t="s">
        <v>50</v>
      </c>
      <c r="H328" s="105" t="s">
        <v>51</v>
      </c>
      <c r="I328" s="105" t="s">
        <v>52</v>
      </c>
      <c r="J328" s="105" t="s">
        <v>53</v>
      </c>
      <c r="K328" s="105">
        <v>0.01</v>
      </c>
      <c r="L328" s="105">
        <v>0.05</v>
      </c>
      <c r="M328" s="105">
        <v>0.1</v>
      </c>
      <c r="N328" s="105">
        <v>0.2</v>
      </c>
      <c r="O328" s="105">
        <v>0.3</v>
      </c>
      <c r="P328" s="105">
        <v>0.4</v>
      </c>
      <c r="Q328" s="105">
        <v>0.5</v>
      </c>
      <c r="R328" s="105">
        <v>0.6</v>
      </c>
      <c r="S328" s="105">
        <v>0.7</v>
      </c>
      <c r="T328" s="105">
        <v>0.8</v>
      </c>
      <c r="U328" s="105">
        <v>0.9</v>
      </c>
      <c r="V328" s="105">
        <v>0.95</v>
      </c>
      <c r="W328" s="105">
        <v>0.99</v>
      </c>
      <c r="X328" s="105">
        <v>0.995</v>
      </c>
      <c r="Y328" s="105">
        <v>0.999</v>
      </c>
      <c r="Z328" s="105">
        <v>0.99950000000000006</v>
      </c>
      <c r="AA328" s="105">
        <v>0.99990000000000001</v>
      </c>
    </row>
    <row r="329" spans="2:27" x14ac:dyDescent="0.2">
      <c r="B329" s="105" t="s">
        <v>718</v>
      </c>
      <c r="C329" s="105" t="s">
        <v>772</v>
      </c>
      <c r="D329" s="105">
        <v>39.9</v>
      </c>
      <c r="E329" s="105" t="s">
        <v>602</v>
      </c>
      <c r="F329" s="105" t="s">
        <v>603</v>
      </c>
      <c r="G329" s="105" t="s">
        <v>265</v>
      </c>
      <c r="H329" s="105" t="s">
        <v>604</v>
      </c>
      <c r="I329" s="105" t="s">
        <v>605</v>
      </c>
      <c r="J329" s="105" t="s">
        <v>606</v>
      </c>
      <c r="K329" s="105" t="s">
        <v>251</v>
      </c>
      <c r="L329" s="105" t="s">
        <v>98</v>
      </c>
      <c r="M329" s="105" t="s">
        <v>241</v>
      </c>
      <c r="N329" s="105" t="s">
        <v>68</v>
      </c>
      <c r="O329" s="105" t="s">
        <v>87</v>
      </c>
      <c r="P329" s="105" t="s">
        <v>89</v>
      </c>
      <c r="Q329" s="105" t="s">
        <v>244</v>
      </c>
      <c r="R329" s="105" t="s">
        <v>456</v>
      </c>
      <c r="S329" s="105" t="s">
        <v>72</v>
      </c>
      <c r="T329" s="105" t="s">
        <v>73</v>
      </c>
      <c r="U329" s="105" t="s">
        <v>177</v>
      </c>
      <c r="V329" s="105" t="s">
        <v>76</v>
      </c>
      <c r="W329" s="105" t="s">
        <v>194</v>
      </c>
      <c r="X329" s="105" t="s">
        <v>147</v>
      </c>
      <c r="Y329" s="105" t="s">
        <v>124</v>
      </c>
      <c r="Z329" s="105" t="s">
        <v>237</v>
      </c>
      <c r="AA329" s="105" t="s">
        <v>498</v>
      </c>
    </row>
    <row r="330" spans="2:27" x14ac:dyDescent="0.2">
      <c r="C330" s="105" t="s">
        <v>773</v>
      </c>
      <c r="D330" s="105">
        <v>56.461935483870974</v>
      </c>
      <c r="E330" s="105">
        <v>1765.2110599078342</v>
      </c>
    </row>
    <row r="331" spans="2:27" x14ac:dyDescent="0.2">
      <c r="C331" s="105" t="s">
        <v>774</v>
      </c>
      <c r="D331" s="105">
        <v>38.208680275862065</v>
      </c>
      <c r="E331" s="105">
        <v>1194.14096</v>
      </c>
    </row>
    <row r="332" spans="2:27" x14ac:dyDescent="0.2">
      <c r="C332" s="105" t="s">
        <v>775</v>
      </c>
      <c r="D332" s="105">
        <v>43.791255963000005</v>
      </c>
      <c r="E332" s="105">
        <v>1369.0782770850001</v>
      </c>
    </row>
    <row r="333" spans="2:27" x14ac:dyDescent="0.2">
      <c r="C333" s="105" t="s">
        <v>776</v>
      </c>
      <c r="D333" s="105">
        <v>54.6</v>
      </c>
      <c r="E333" s="105" t="s">
        <v>579</v>
      </c>
      <c r="F333" s="105" t="s">
        <v>580</v>
      </c>
      <c r="G333" s="105" t="s">
        <v>250</v>
      </c>
      <c r="H333" s="105" t="s">
        <v>581</v>
      </c>
      <c r="I333" s="105" t="s">
        <v>582</v>
      </c>
      <c r="J333" s="105" t="s">
        <v>583</v>
      </c>
      <c r="K333" s="105" t="s">
        <v>97</v>
      </c>
      <c r="L333" s="105" t="s">
        <v>241</v>
      </c>
      <c r="M333" s="105" t="s">
        <v>68</v>
      </c>
      <c r="N333" s="105" t="s">
        <v>242</v>
      </c>
      <c r="O333" s="105" t="s">
        <v>71</v>
      </c>
      <c r="P333" s="105" t="s">
        <v>74</v>
      </c>
      <c r="Q333" s="105" t="s">
        <v>307</v>
      </c>
      <c r="R333" s="105" t="s">
        <v>233</v>
      </c>
      <c r="S333" s="105" t="s">
        <v>181</v>
      </c>
      <c r="T333" s="105" t="s">
        <v>111</v>
      </c>
      <c r="U333" s="105" t="s">
        <v>148</v>
      </c>
      <c r="V333" s="105" t="s">
        <v>258</v>
      </c>
      <c r="W333" s="105" t="s">
        <v>133</v>
      </c>
      <c r="X333" s="105" t="s">
        <v>134</v>
      </c>
      <c r="Y333" s="105" t="s">
        <v>228</v>
      </c>
      <c r="Z333" s="105" t="s">
        <v>184</v>
      </c>
      <c r="AA333" s="105" t="s">
        <v>372</v>
      </c>
    </row>
    <row r="335" spans="2:27" x14ac:dyDescent="0.2">
      <c r="D335" s="105" t="s">
        <v>47</v>
      </c>
      <c r="E335" s="105" t="s">
        <v>48</v>
      </c>
      <c r="F335" s="105" t="s">
        <v>49</v>
      </c>
      <c r="G335" s="105" t="s">
        <v>50</v>
      </c>
      <c r="H335" s="105" t="s">
        <v>51</v>
      </c>
      <c r="I335" s="105" t="s">
        <v>52</v>
      </c>
      <c r="J335" s="105" t="s">
        <v>53</v>
      </c>
      <c r="K335" s="105">
        <v>0.01</v>
      </c>
      <c r="L335" s="105">
        <v>0.05</v>
      </c>
      <c r="M335" s="105">
        <v>0.1</v>
      </c>
      <c r="N335" s="105">
        <v>0.2</v>
      </c>
      <c r="O335" s="105">
        <v>0.3</v>
      </c>
      <c r="P335" s="105">
        <v>0.4</v>
      </c>
      <c r="Q335" s="105">
        <v>0.5</v>
      </c>
      <c r="R335" s="105">
        <v>0.6</v>
      </c>
      <c r="S335" s="105">
        <v>0.7</v>
      </c>
      <c r="T335" s="105">
        <v>0.8</v>
      </c>
      <c r="U335" s="105">
        <v>0.9</v>
      </c>
      <c r="V335" s="105">
        <v>0.95</v>
      </c>
      <c r="W335" s="105">
        <v>0.99</v>
      </c>
      <c r="X335" s="105">
        <v>0.995</v>
      </c>
      <c r="Y335" s="105">
        <v>0.999</v>
      </c>
      <c r="Z335" s="105">
        <v>0.99950000000000006</v>
      </c>
      <c r="AA335" s="105">
        <v>0.99990000000000001</v>
      </c>
    </row>
    <row r="336" spans="2:27" x14ac:dyDescent="0.2">
      <c r="B336" s="105" t="s">
        <v>718</v>
      </c>
      <c r="C336" s="105" t="s">
        <v>772</v>
      </c>
      <c r="D336" s="105">
        <v>45.3</v>
      </c>
      <c r="E336" s="105" t="s">
        <v>607</v>
      </c>
      <c r="F336" s="105" t="s">
        <v>608</v>
      </c>
      <c r="G336" s="105" t="s">
        <v>93</v>
      </c>
      <c r="H336" s="105" t="s">
        <v>609</v>
      </c>
      <c r="I336" s="105" t="s">
        <v>610</v>
      </c>
      <c r="K336" s="105" t="s">
        <v>251</v>
      </c>
      <c r="L336" s="105" t="s">
        <v>98</v>
      </c>
      <c r="M336" s="105" t="s">
        <v>241</v>
      </c>
      <c r="N336" s="105" t="s">
        <v>81</v>
      </c>
      <c r="O336" s="105" t="s">
        <v>68</v>
      </c>
      <c r="P336" s="105" t="s">
        <v>87</v>
      </c>
      <c r="Q336" s="105" t="s">
        <v>89</v>
      </c>
      <c r="R336" s="105" t="s">
        <v>242</v>
      </c>
      <c r="S336" s="105" t="s">
        <v>243</v>
      </c>
      <c r="T336" s="105" t="s">
        <v>244</v>
      </c>
      <c r="U336" s="105" t="s">
        <v>456</v>
      </c>
      <c r="V336" s="105" t="s">
        <v>73</v>
      </c>
      <c r="W336" s="105" t="s">
        <v>193</v>
      </c>
      <c r="X336" s="105" t="s">
        <v>110</v>
      </c>
      <c r="Y336" s="105" t="s">
        <v>148</v>
      </c>
      <c r="Z336" s="105" t="s">
        <v>217</v>
      </c>
      <c r="AA336" s="105" t="s">
        <v>409</v>
      </c>
    </row>
    <row r="337" spans="2:27" x14ac:dyDescent="0.2">
      <c r="C337" s="105" t="s">
        <v>773</v>
      </c>
      <c r="D337" s="105">
        <v>64.527926267281103</v>
      </c>
      <c r="E337" s="105">
        <v>2017.5317972350231</v>
      </c>
    </row>
    <row r="338" spans="2:27" x14ac:dyDescent="0.2">
      <c r="C338" s="105" t="s">
        <v>774</v>
      </c>
      <c r="D338" s="105">
        <v>43.332310458262711</v>
      </c>
      <c r="E338" s="105">
        <v>1354.4934130000001</v>
      </c>
    </row>
    <row r="339" spans="2:27" x14ac:dyDescent="0.2">
      <c r="C339" s="105" t="s">
        <v>775</v>
      </c>
      <c r="D339" s="105">
        <v>50.047149672000003</v>
      </c>
      <c r="E339" s="105">
        <v>1564.7754649050003</v>
      </c>
    </row>
    <row r="340" spans="2:27" x14ac:dyDescent="0.2">
      <c r="C340" s="105" t="s">
        <v>776</v>
      </c>
      <c r="D340" s="105">
        <v>62.4</v>
      </c>
      <c r="E340" s="105" t="s">
        <v>584</v>
      </c>
      <c r="F340" s="105" t="s">
        <v>585</v>
      </c>
      <c r="G340" s="105" t="s">
        <v>257</v>
      </c>
      <c r="H340" s="105" t="s">
        <v>586</v>
      </c>
      <c r="I340" s="105" t="s">
        <v>587</v>
      </c>
      <c r="J340" s="105" t="s">
        <v>588</v>
      </c>
      <c r="K340" s="105" t="s">
        <v>98</v>
      </c>
      <c r="L340" s="105" t="s">
        <v>86</v>
      </c>
      <c r="M340" s="105" t="s">
        <v>242</v>
      </c>
      <c r="N340" s="105" t="s">
        <v>254</v>
      </c>
      <c r="O340" s="105" t="s">
        <v>71</v>
      </c>
      <c r="P340" s="105" t="s">
        <v>72</v>
      </c>
      <c r="Q340" s="105" t="s">
        <v>74</v>
      </c>
      <c r="R340" s="105" t="s">
        <v>307</v>
      </c>
      <c r="S340" s="105" t="s">
        <v>233</v>
      </c>
      <c r="T340" s="105" t="s">
        <v>181</v>
      </c>
      <c r="U340" s="105" t="s">
        <v>146</v>
      </c>
      <c r="V340" s="105" t="s">
        <v>245</v>
      </c>
      <c r="W340" s="105" t="s">
        <v>368</v>
      </c>
      <c r="X340" s="105" t="s">
        <v>195</v>
      </c>
      <c r="Y340" s="105" t="s">
        <v>476</v>
      </c>
      <c r="Z340" s="105" t="s">
        <v>527</v>
      </c>
      <c r="AA340" s="105" t="s">
        <v>589</v>
      </c>
    </row>
    <row r="342" spans="2:27" x14ac:dyDescent="0.2">
      <c r="D342" s="105" t="s">
        <v>47</v>
      </c>
      <c r="E342" s="105" t="s">
        <v>48</v>
      </c>
      <c r="F342" s="105" t="s">
        <v>49</v>
      </c>
      <c r="G342" s="105" t="s">
        <v>50</v>
      </c>
      <c r="H342" s="105" t="s">
        <v>51</v>
      </c>
      <c r="I342" s="105" t="s">
        <v>52</v>
      </c>
      <c r="J342" s="105" t="s">
        <v>53</v>
      </c>
      <c r="K342" s="105">
        <v>0.01</v>
      </c>
      <c r="L342" s="105">
        <v>0.05</v>
      </c>
      <c r="M342" s="105">
        <v>0.1</v>
      </c>
      <c r="N342" s="105">
        <v>0.2</v>
      </c>
      <c r="O342" s="105">
        <v>0.3</v>
      </c>
      <c r="P342" s="105">
        <v>0.4</v>
      </c>
      <c r="Q342" s="105">
        <v>0.5</v>
      </c>
      <c r="R342" s="105">
        <v>0.6</v>
      </c>
      <c r="S342" s="105">
        <v>0.7</v>
      </c>
      <c r="T342" s="105">
        <v>0.8</v>
      </c>
      <c r="U342" s="105">
        <v>0.9</v>
      </c>
      <c r="V342" s="105">
        <v>0.95</v>
      </c>
      <c r="W342" s="105">
        <v>0.99</v>
      </c>
      <c r="X342" s="105">
        <v>0.995</v>
      </c>
      <c r="Y342" s="105">
        <v>0.999</v>
      </c>
      <c r="Z342" s="105">
        <v>0.99950000000000006</v>
      </c>
      <c r="AA342" s="105">
        <v>0.99990000000000001</v>
      </c>
    </row>
    <row r="343" spans="2:27" x14ac:dyDescent="0.2">
      <c r="B343" s="105" t="s">
        <v>805</v>
      </c>
      <c r="C343" s="105" t="s">
        <v>772</v>
      </c>
      <c r="D343" s="105">
        <v>33.6</v>
      </c>
      <c r="E343" s="105" t="s">
        <v>611</v>
      </c>
      <c r="F343" s="105" t="s">
        <v>612</v>
      </c>
      <c r="G343" s="105" t="s">
        <v>94</v>
      </c>
      <c r="H343" s="105" t="s">
        <v>484</v>
      </c>
      <c r="I343" s="105" t="s">
        <v>613</v>
      </c>
      <c r="K343" s="105" t="s">
        <v>251</v>
      </c>
      <c r="L343" s="105" t="s">
        <v>97</v>
      </c>
      <c r="M343" s="105" t="s">
        <v>97</v>
      </c>
      <c r="N343" s="105" t="s">
        <v>97</v>
      </c>
      <c r="O343" s="105" t="s">
        <v>98</v>
      </c>
      <c r="P343" s="105" t="s">
        <v>82</v>
      </c>
      <c r="Q343" s="105" t="s">
        <v>241</v>
      </c>
      <c r="R343" s="105" t="s">
        <v>68</v>
      </c>
      <c r="S343" s="105" t="s">
        <v>88</v>
      </c>
      <c r="T343" s="105" t="s">
        <v>89</v>
      </c>
      <c r="U343" s="105" t="s">
        <v>242</v>
      </c>
      <c r="V343" s="105" t="s">
        <v>243</v>
      </c>
      <c r="W343" s="105" t="s">
        <v>75</v>
      </c>
      <c r="X343" s="105" t="s">
        <v>233</v>
      </c>
      <c r="Y343" s="105" t="s">
        <v>112</v>
      </c>
      <c r="Z343" s="105" t="s">
        <v>207</v>
      </c>
      <c r="AA343" s="105" t="s">
        <v>484</v>
      </c>
    </row>
    <row r="344" spans="2:27" x14ac:dyDescent="0.2">
      <c r="C344" s="105" t="s">
        <v>773</v>
      </c>
      <c r="D344" s="105">
        <v>42.374539200000001</v>
      </c>
      <c r="E344" s="105">
        <v>1322.943203</v>
      </c>
      <c r="K344" s="105" t="s">
        <v>251</v>
      </c>
      <c r="L344" s="105" t="s">
        <v>98</v>
      </c>
      <c r="M344" s="105" t="s">
        <v>241</v>
      </c>
      <c r="N344" s="105" t="s">
        <v>68</v>
      </c>
      <c r="O344" s="105" t="s">
        <v>86</v>
      </c>
      <c r="P344" s="105" t="s">
        <v>87</v>
      </c>
      <c r="Q344" s="105" t="s">
        <v>89</v>
      </c>
      <c r="R344" s="105" t="s">
        <v>242</v>
      </c>
      <c r="S344" s="105" t="s">
        <v>243</v>
      </c>
      <c r="T344" s="105" t="s">
        <v>244</v>
      </c>
      <c r="U344" s="105" t="s">
        <v>70</v>
      </c>
      <c r="V344" s="105" t="s">
        <v>74</v>
      </c>
      <c r="W344" s="105" t="s">
        <v>193</v>
      </c>
      <c r="X344" s="105" t="s">
        <v>111</v>
      </c>
      <c r="Y344" s="105" t="s">
        <v>165</v>
      </c>
      <c r="Z344" s="105" t="s">
        <v>168</v>
      </c>
      <c r="AA344" s="105" t="s">
        <v>129</v>
      </c>
    </row>
    <row r="345" spans="2:27" x14ac:dyDescent="0.2">
      <c r="C345" s="105" t="s">
        <v>774</v>
      </c>
      <c r="D345" s="105">
        <v>17.850600571973306</v>
      </c>
      <c r="E345" s="105">
        <v>557.29999999999995</v>
      </c>
      <c r="K345" s="105">
        <v>67.81984568455033</v>
      </c>
      <c r="L345" s="105">
        <v>73.985286201327639</v>
      </c>
      <c r="M345" s="105">
        <v>73.985286201327639</v>
      </c>
      <c r="N345" s="105">
        <v>73.985286201327639</v>
      </c>
      <c r="O345" s="105">
        <v>77.068006459716273</v>
      </c>
      <c r="P345" s="105">
        <v>80.150726718104934</v>
      </c>
      <c r="Q345" s="105">
        <v>83.233446976493596</v>
      </c>
      <c r="R345" s="105">
        <v>89.398887493270891</v>
      </c>
      <c r="S345" s="105">
        <v>98.647048268436848</v>
      </c>
      <c r="T345" s="105">
        <v>121.2434954243675</v>
      </c>
      <c r="U345" s="105">
        <v>154.85555356181592</v>
      </c>
      <c r="V345" s="105">
        <v>218.47837789341469</v>
      </c>
      <c r="W345" s="105">
        <v>238.88569890543695</v>
      </c>
      <c r="X345" s="105">
        <v>246.08828279203303</v>
      </c>
      <c r="Y345" s="105">
        <v>308.51067647586581</v>
      </c>
      <c r="Z345" s="105">
        <v>787.48250493450576</v>
      </c>
      <c r="AA345" s="105">
        <v>1082.0348106944166</v>
      </c>
    </row>
    <row r="346" spans="2:27" x14ac:dyDescent="0.2">
      <c r="C346" s="105" t="s">
        <v>775</v>
      </c>
      <c r="D346" s="105">
        <v>28.420606628500003</v>
      </c>
      <c r="E346" s="105">
        <v>888.655855675</v>
      </c>
    </row>
    <row r="347" spans="2:27" x14ac:dyDescent="0.2">
      <c r="C347" s="105" t="s">
        <v>776</v>
      </c>
      <c r="D347" s="105">
        <v>34.700000000000003</v>
      </c>
      <c r="E347" s="105" t="s">
        <v>396</v>
      </c>
      <c r="F347" s="105" t="s">
        <v>553</v>
      </c>
      <c r="G347" s="105" t="s">
        <v>268</v>
      </c>
      <c r="H347" s="105" t="s">
        <v>554</v>
      </c>
      <c r="I347" s="105" t="s">
        <v>555</v>
      </c>
      <c r="K347" s="105" t="s">
        <v>251</v>
      </c>
      <c r="L347" s="105" t="s">
        <v>96</v>
      </c>
      <c r="M347" s="105" t="s">
        <v>96</v>
      </c>
      <c r="N347" s="105" t="s">
        <v>98</v>
      </c>
      <c r="O347" s="105" t="s">
        <v>98</v>
      </c>
      <c r="P347" s="105" t="s">
        <v>82</v>
      </c>
      <c r="Q347" s="105" t="s">
        <v>241</v>
      </c>
      <c r="R347" s="105" t="s">
        <v>86</v>
      </c>
      <c r="S347" s="105" t="s">
        <v>87</v>
      </c>
      <c r="T347" s="105" t="s">
        <v>87</v>
      </c>
      <c r="U347" s="105" t="s">
        <v>88</v>
      </c>
      <c r="V347" s="105" t="s">
        <v>89</v>
      </c>
      <c r="W347" s="105" t="s">
        <v>255</v>
      </c>
      <c r="X347" s="105" t="s">
        <v>378</v>
      </c>
      <c r="Y347" s="105" t="s">
        <v>107</v>
      </c>
      <c r="Z347" s="105" t="s">
        <v>145</v>
      </c>
      <c r="AA347" s="105" t="s">
        <v>141</v>
      </c>
    </row>
    <row r="348" spans="2:27" x14ac:dyDescent="0.2">
      <c r="D348" s="105" t="s">
        <v>47</v>
      </c>
      <c r="E348" s="105" t="s">
        <v>48</v>
      </c>
      <c r="F348" s="105" t="s">
        <v>49</v>
      </c>
      <c r="G348" s="105" t="s">
        <v>50</v>
      </c>
      <c r="H348" s="105" t="s">
        <v>51</v>
      </c>
      <c r="I348" s="105" t="s">
        <v>52</v>
      </c>
      <c r="J348" s="105" t="s">
        <v>53</v>
      </c>
      <c r="K348" s="105">
        <v>0.01</v>
      </c>
      <c r="L348" s="105">
        <v>0.05</v>
      </c>
      <c r="M348" s="105">
        <v>0.1</v>
      </c>
      <c r="N348" s="105">
        <v>0.2</v>
      </c>
      <c r="O348" s="105">
        <v>0.3</v>
      </c>
      <c r="P348" s="105">
        <v>0.4</v>
      </c>
      <c r="Q348" s="105">
        <v>0.5</v>
      </c>
      <c r="R348" s="105">
        <v>0.6</v>
      </c>
      <c r="S348" s="105">
        <v>0.7</v>
      </c>
      <c r="T348" s="105">
        <v>0.8</v>
      </c>
      <c r="U348" s="105">
        <v>0.9</v>
      </c>
      <c r="V348" s="105">
        <v>0.95</v>
      </c>
      <c r="W348" s="105">
        <v>0.99</v>
      </c>
      <c r="X348" s="105">
        <v>0.995</v>
      </c>
      <c r="Y348" s="105">
        <v>0.999</v>
      </c>
      <c r="Z348" s="105">
        <v>0.99950000000000006</v>
      </c>
      <c r="AA348" s="105">
        <v>0.99990000000000001</v>
      </c>
    </row>
    <row r="349" spans="2:27" x14ac:dyDescent="0.2">
      <c r="B349" s="105" t="s">
        <v>805</v>
      </c>
      <c r="C349" s="105" t="s">
        <v>772</v>
      </c>
      <c r="D349" s="105">
        <v>50.4</v>
      </c>
      <c r="E349" s="105" t="s">
        <v>629</v>
      </c>
      <c r="F349" s="105" t="s">
        <v>630</v>
      </c>
      <c r="G349" s="105" t="s">
        <v>250</v>
      </c>
      <c r="H349" s="105" t="s">
        <v>631</v>
      </c>
      <c r="I349" s="105" t="s">
        <v>632</v>
      </c>
      <c r="J349" s="105" t="s">
        <v>633</v>
      </c>
      <c r="K349" s="105" t="s">
        <v>98</v>
      </c>
      <c r="L349" s="105" t="s">
        <v>68</v>
      </c>
      <c r="M349" s="105" t="s">
        <v>88</v>
      </c>
      <c r="N349" s="105" t="s">
        <v>252</v>
      </c>
      <c r="O349" s="105" t="s">
        <v>69</v>
      </c>
      <c r="P349" s="105" t="s">
        <v>456</v>
      </c>
      <c r="Q349" s="105" t="s">
        <v>73</v>
      </c>
      <c r="R349" s="105" t="s">
        <v>301</v>
      </c>
      <c r="S349" s="105" t="s">
        <v>233</v>
      </c>
      <c r="T349" s="105" t="s">
        <v>181</v>
      </c>
      <c r="U349" s="105" t="s">
        <v>114</v>
      </c>
      <c r="V349" s="105" t="s">
        <v>166</v>
      </c>
      <c r="W349" s="105" t="s">
        <v>342</v>
      </c>
      <c r="X349" s="105" t="s">
        <v>327</v>
      </c>
      <c r="Y349" s="105" t="s">
        <v>196</v>
      </c>
      <c r="Z349" s="105" t="s">
        <v>527</v>
      </c>
      <c r="AA349" s="105" t="s">
        <v>634</v>
      </c>
    </row>
    <row r="350" spans="2:27" x14ac:dyDescent="0.2">
      <c r="C350" s="105" t="s">
        <v>773</v>
      </c>
      <c r="D350" s="105">
        <v>62.184427053456218</v>
      </c>
      <c r="E350" s="105">
        <v>1943.568171043318</v>
      </c>
    </row>
    <row r="351" spans="2:27" x14ac:dyDescent="0.2">
      <c r="C351" s="105" t="s">
        <v>774</v>
      </c>
      <c r="D351" s="105">
        <v>39.594081108716644</v>
      </c>
      <c r="E351" s="105">
        <v>1236.5294377999999</v>
      </c>
    </row>
    <row r="352" spans="2:27" x14ac:dyDescent="0.2">
      <c r="C352" s="105" t="s">
        <v>775</v>
      </c>
      <c r="D352" s="105">
        <v>41.770920404999998</v>
      </c>
      <c r="E352" s="105">
        <v>1305.5460220699999</v>
      </c>
    </row>
    <row r="353" spans="2:27" x14ac:dyDescent="0.2">
      <c r="C353" s="105" t="s">
        <v>776</v>
      </c>
      <c r="D353" s="105" t="s">
        <v>256</v>
      </c>
      <c r="E353" s="105" t="s">
        <v>556</v>
      </c>
      <c r="F353" s="105" t="s">
        <v>557</v>
      </c>
      <c r="G353" s="105" t="s">
        <v>250</v>
      </c>
      <c r="H353" s="105" t="s">
        <v>558</v>
      </c>
      <c r="I353" s="105" t="s">
        <v>559</v>
      </c>
      <c r="J353" s="105" t="s">
        <v>560</v>
      </c>
      <c r="K353" s="105" t="s">
        <v>82</v>
      </c>
      <c r="L353" s="105" t="s">
        <v>86</v>
      </c>
      <c r="M353" s="105" t="s">
        <v>88</v>
      </c>
      <c r="N353" s="105" t="s">
        <v>244</v>
      </c>
      <c r="O353" s="105" t="s">
        <v>69</v>
      </c>
      <c r="P353" s="105" t="s">
        <v>456</v>
      </c>
      <c r="Q353" s="105" t="s">
        <v>74</v>
      </c>
      <c r="R353" s="105" t="s">
        <v>378</v>
      </c>
      <c r="S353" s="105" t="s">
        <v>233</v>
      </c>
      <c r="T353" s="105" t="s">
        <v>181</v>
      </c>
      <c r="U353" s="105" t="s">
        <v>145</v>
      </c>
      <c r="V353" s="105" t="s">
        <v>149</v>
      </c>
      <c r="W353" s="105" t="s">
        <v>152</v>
      </c>
      <c r="X353" s="105" t="s">
        <v>130</v>
      </c>
      <c r="Y353" s="105" t="s">
        <v>561</v>
      </c>
      <c r="Z353" s="105" t="s">
        <v>472</v>
      </c>
      <c r="AA353" s="105" t="s">
        <v>395</v>
      </c>
    </row>
    <row r="355" spans="2:27" x14ac:dyDescent="0.2">
      <c r="D355" s="105" t="s">
        <v>47</v>
      </c>
      <c r="E355" s="105" t="s">
        <v>48</v>
      </c>
      <c r="F355" s="105" t="s">
        <v>49</v>
      </c>
      <c r="G355" s="105" t="s">
        <v>50</v>
      </c>
      <c r="H355" s="105" t="s">
        <v>51</v>
      </c>
      <c r="I355" s="105" t="s">
        <v>52</v>
      </c>
      <c r="J355" s="105" t="s">
        <v>53</v>
      </c>
      <c r="K355" s="105">
        <v>0.01</v>
      </c>
      <c r="L355" s="105">
        <v>0.05</v>
      </c>
      <c r="M355" s="105">
        <v>0.1</v>
      </c>
      <c r="N355" s="105">
        <v>0.2</v>
      </c>
      <c r="O355" s="105">
        <v>0.3</v>
      </c>
      <c r="P355" s="105">
        <v>0.4</v>
      </c>
      <c r="Q355" s="105">
        <v>0.5</v>
      </c>
      <c r="R355" s="105">
        <v>0.6</v>
      </c>
      <c r="S355" s="105">
        <v>0.7</v>
      </c>
      <c r="T355" s="105">
        <v>0.8</v>
      </c>
      <c r="U355" s="105">
        <v>0.9</v>
      </c>
      <c r="V355" s="105">
        <v>0.95</v>
      </c>
      <c r="W355" s="105">
        <v>0.99</v>
      </c>
      <c r="X355" s="105">
        <v>0.995</v>
      </c>
      <c r="Y355" s="105">
        <v>0.999</v>
      </c>
      <c r="Z355" s="105">
        <v>0.99950000000000006</v>
      </c>
      <c r="AA355" s="105">
        <v>0.99990000000000001</v>
      </c>
    </row>
    <row r="356" spans="2:27" x14ac:dyDescent="0.2">
      <c r="B356" s="105" t="s">
        <v>805</v>
      </c>
      <c r="C356" s="105" t="s">
        <v>772</v>
      </c>
      <c r="D356" s="105" t="s">
        <v>223</v>
      </c>
      <c r="E356" s="105" t="s">
        <v>614</v>
      </c>
      <c r="F356" s="105" t="s">
        <v>615</v>
      </c>
      <c r="G356" s="105" t="s">
        <v>93</v>
      </c>
      <c r="H356" s="105" t="s">
        <v>616</v>
      </c>
      <c r="I356" s="105" t="s">
        <v>617</v>
      </c>
      <c r="J356" s="105" t="s">
        <v>618</v>
      </c>
      <c r="K356" s="105" t="s">
        <v>86</v>
      </c>
      <c r="L356" s="105" t="s">
        <v>69</v>
      </c>
      <c r="M356" s="105" t="s">
        <v>255</v>
      </c>
      <c r="N356" s="105" t="s">
        <v>307</v>
      </c>
      <c r="O356" s="105" t="s">
        <v>76</v>
      </c>
      <c r="P356" s="105" t="s">
        <v>109</v>
      </c>
      <c r="Q356" s="105" t="s">
        <v>145</v>
      </c>
      <c r="R356" s="105" t="s">
        <v>148</v>
      </c>
      <c r="S356" s="105" t="s">
        <v>218</v>
      </c>
      <c r="T356" s="105" t="s">
        <v>127</v>
      </c>
      <c r="U356" s="105" t="s">
        <v>153</v>
      </c>
      <c r="V356" s="105" t="s">
        <v>278</v>
      </c>
      <c r="W356" s="105" t="s">
        <v>417</v>
      </c>
      <c r="X356" s="105" t="s">
        <v>484</v>
      </c>
      <c r="Y356" s="105" t="s">
        <v>619</v>
      </c>
      <c r="Z356" s="105" t="s">
        <v>324</v>
      </c>
      <c r="AA356" s="105" t="s">
        <v>620</v>
      </c>
    </row>
    <row r="357" spans="2:27" x14ac:dyDescent="0.2">
      <c r="C357" s="105" t="s">
        <v>773</v>
      </c>
      <c r="D357" s="105">
        <v>70.475683993917045</v>
      </c>
      <c r="E357" s="105">
        <v>2203.2796016783409</v>
      </c>
    </row>
    <row r="358" spans="2:27" x14ac:dyDescent="0.2">
      <c r="C358" s="105" t="s">
        <v>774</v>
      </c>
      <c r="D358" s="105">
        <v>44.585402012578619</v>
      </c>
      <c r="E358" s="105">
        <v>1392.4976449999999</v>
      </c>
    </row>
    <row r="359" spans="2:27" x14ac:dyDescent="0.2">
      <c r="C359" s="105" t="s">
        <v>775</v>
      </c>
      <c r="D359" s="105">
        <v>47.340376459000005</v>
      </c>
      <c r="E359" s="105">
        <v>1480.0010425850001</v>
      </c>
    </row>
    <row r="360" spans="2:27" x14ac:dyDescent="0.2">
      <c r="C360" s="105" t="s">
        <v>776</v>
      </c>
      <c r="D360" s="105">
        <v>57.8</v>
      </c>
      <c r="E360" s="105" t="s">
        <v>562</v>
      </c>
      <c r="F360" s="105" t="s">
        <v>563</v>
      </c>
      <c r="G360" s="105" t="s">
        <v>93</v>
      </c>
      <c r="H360" s="105" t="s">
        <v>564</v>
      </c>
      <c r="I360" s="105" t="s">
        <v>565</v>
      </c>
      <c r="J360" s="105" t="s">
        <v>566</v>
      </c>
      <c r="K360" s="105" t="s">
        <v>86</v>
      </c>
      <c r="L360" s="105" t="s">
        <v>254</v>
      </c>
      <c r="M360" s="105" t="s">
        <v>255</v>
      </c>
      <c r="N360" s="105" t="s">
        <v>256</v>
      </c>
      <c r="O360" s="105" t="s">
        <v>76</v>
      </c>
      <c r="P360" s="105" t="s">
        <v>110</v>
      </c>
      <c r="Q360" s="105" t="s">
        <v>114</v>
      </c>
      <c r="R360" s="105" t="s">
        <v>165</v>
      </c>
      <c r="S360" s="105" t="s">
        <v>116</v>
      </c>
      <c r="T360" s="105" t="s">
        <v>448</v>
      </c>
      <c r="U360" s="105" t="s">
        <v>294</v>
      </c>
      <c r="V360" s="105" t="s">
        <v>196</v>
      </c>
      <c r="W360" s="105" t="s">
        <v>490</v>
      </c>
      <c r="X360" s="105" t="s">
        <v>389</v>
      </c>
      <c r="Y360" s="105" t="s">
        <v>567</v>
      </c>
      <c r="Z360" s="105" t="s">
        <v>356</v>
      </c>
      <c r="AA360" s="105" t="s">
        <v>568</v>
      </c>
    </row>
    <row r="362" spans="2:27" x14ac:dyDescent="0.2">
      <c r="D362" s="105" t="s">
        <v>47</v>
      </c>
      <c r="E362" s="105" t="s">
        <v>48</v>
      </c>
      <c r="F362" s="105" t="s">
        <v>49</v>
      </c>
      <c r="G362" s="105" t="s">
        <v>50</v>
      </c>
      <c r="H362" s="105" t="s">
        <v>51</v>
      </c>
      <c r="I362" s="105" t="s">
        <v>52</v>
      </c>
      <c r="J362" s="105" t="s">
        <v>53</v>
      </c>
      <c r="K362" s="105">
        <v>0.01</v>
      </c>
      <c r="L362" s="105">
        <v>0.05</v>
      </c>
      <c r="M362" s="105">
        <v>0.1</v>
      </c>
      <c r="N362" s="105">
        <v>0.2</v>
      </c>
      <c r="O362" s="105">
        <v>0.3</v>
      </c>
      <c r="P362" s="105">
        <v>0.4</v>
      </c>
      <c r="Q362" s="105">
        <v>0.5</v>
      </c>
      <c r="R362" s="105">
        <v>0.6</v>
      </c>
      <c r="S362" s="105">
        <v>0.7</v>
      </c>
      <c r="T362" s="105">
        <v>0.8</v>
      </c>
      <c r="U362" s="105">
        <v>0.9</v>
      </c>
      <c r="V362" s="105">
        <v>0.95</v>
      </c>
      <c r="W362" s="105">
        <v>0.99</v>
      </c>
      <c r="X362" s="105">
        <v>0.995</v>
      </c>
      <c r="Y362" s="105">
        <v>0.999</v>
      </c>
      <c r="Z362" s="105">
        <v>0.99950000000000006</v>
      </c>
      <c r="AA362" s="105">
        <v>0.99990000000000001</v>
      </c>
    </row>
    <row r="363" spans="2:27" x14ac:dyDescent="0.2">
      <c r="B363" s="105" t="s">
        <v>805</v>
      </c>
      <c r="C363" s="105" t="s">
        <v>772</v>
      </c>
      <c r="D363" s="105">
        <v>64.3</v>
      </c>
      <c r="E363" s="105" t="s">
        <v>621</v>
      </c>
      <c r="F363" s="105" t="s">
        <v>622</v>
      </c>
      <c r="G363" s="105" t="s">
        <v>452</v>
      </c>
      <c r="H363" s="105" t="s">
        <v>623</v>
      </c>
      <c r="I363" s="105" t="s">
        <v>624</v>
      </c>
      <c r="J363" s="105" t="s">
        <v>625</v>
      </c>
      <c r="K363" s="105" t="s">
        <v>242</v>
      </c>
      <c r="L363" s="105" t="s">
        <v>255</v>
      </c>
      <c r="M363" s="105" t="s">
        <v>378</v>
      </c>
      <c r="N363" s="105" t="s">
        <v>76</v>
      </c>
      <c r="O363" s="105" t="s">
        <v>111</v>
      </c>
      <c r="P363" s="105" t="s">
        <v>114</v>
      </c>
      <c r="Q363" s="105" t="s">
        <v>165</v>
      </c>
      <c r="R363" s="105" t="s">
        <v>218</v>
      </c>
      <c r="S363" s="105" t="s">
        <v>182</v>
      </c>
      <c r="T363" s="105" t="s">
        <v>238</v>
      </c>
      <c r="U363" s="105" t="s">
        <v>135</v>
      </c>
      <c r="V363" s="105" t="s">
        <v>352</v>
      </c>
      <c r="W363" s="105" t="s">
        <v>280</v>
      </c>
      <c r="X363" s="105" t="s">
        <v>626</v>
      </c>
      <c r="Y363" s="105" t="s">
        <v>371</v>
      </c>
      <c r="Z363" s="105" t="s">
        <v>627</v>
      </c>
      <c r="AA363" s="105" t="s">
        <v>628</v>
      </c>
    </row>
    <row r="364" spans="2:27" x14ac:dyDescent="0.2">
      <c r="C364" s="105" t="s">
        <v>773</v>
      </c>
      <c r="D364" s="105">
        <v>74.231017369727041</v>
      </c>
      <c r="E364" s="105">
        <v>2319</v>
      </c>
    </row>
    <row r="365" spans="2:27" x14ac:dyDescent="0.2">
      <c r="C365" s="105" t="s">
        <v>774</v>
      </c>
      <c r="D365" s="105">
        <v>53.111342857660972</v>
      </c>
      <c r="E365" s="105">
        <v>1658.5937240774999</v>
      </c>
    </row>
    <row r="366" spans="2:27" x14ac:dyDescent="0.2">
      <c r="C366" s="105" t="s">
        <v>775</v>
      </c>
      <c r="D366" s="105">
        <v>53.16848635235732</v>
      </c>
      <c r="E366" s="105">
        <v>1661</v>
      </c>
    </row>
    <row r="367" spans="2:27" x14ac:dyDescent="0.2">
      <c r="C367" s="105" t="s">
        <v>776</v>
      </c>
      <c r="D367" s="105">
        <v>64.5</v>
      </c>
      <c r="E367" s="105" t="s">
        <v>373</v>
      </c>
      <c r="F367" s="105" t="s">
        <v>374</v>
      </c>
      <c r="G367" s="105" t="s">
        <v>93</v>
      </c>
      <c r="H367" s="105" t="s">
        <v>569</v>
      </c>
      <c r="I367" s="105" t="s">
        <v>570</v>
      </c>
      <c r="J367" s="105" t="s">
        <v>571</v>
      </c>
      <c r="K367" s="105" t="s">
        <v>86</v>
      </c>
      <c r="L367" s="105" t="s">
        <v>244</v>
      </c>
      <c r="M367" s="105" t="s">
        <v>456</v>
      </c>
      <c r="N367" s="105" t="s">
        <v>301</v>
      </c>
      <c r="O367" s="105" t="s">
        <v>106</v>
      </c>
      <c r="P367" s="105" t="s">
        <v>181</v>
      </c>
      <c r="Q367" s="105" t="s">
        <v>111</v>
      </c>
      <c r="R367" s="105" t="s">
        <v>114</v>
      </c>
      <c r="S367" s="105" t="s">
        <v>165</v>
      </c>
      <c r="T367" s="105" t="s">
        <v>124</v>
      </c>
      <c r="U367" s="105" t="s">
        <v>78</v>
      </c>
      <c r="V367" s="105" t="s">
        <v>263</v>
      </c>
      <c r="W367" s="105" t="s">
        <v>264</v>
      </c>
      <c r="X367" s="105" t="s">
        <v>527</v>
      </c>
      <c r="Y367" s="105" t="s">
        <v>516</v>
      </c>
      <c r="Z367" s="105" t="s">
        <v>395</v>
      </c>
      <c r="AA367" s="105" t="s">
        <v>572</v>
      </c>
    </row>
    <row r="379" spans="1:27" x14ac:dyDescent="0.2">
      <c r="A379" s="105" t="s">
        <v>808</v>
      </c>
    </row>
    <row r="380" spans="1:27" x14ac:dyDescent="0.2">
      <c r="D380" s="105" t="s">
        <v>47</v>
      </c>
      <c r="E380" s="105" t="s">
        <v>48</v>
      </c>
      <c r="F380" s="105" t="s">
        <v>49</v>
      </c>
      <c r="G380" s="105" t="s">
        <v>50</v>
      </c>
      <c r="H380" s="105" t="s">
        <v>51</v>
      </c>
      <c r="I380" s="105" t="s">
        <v>52</v>
      </c>
      <c r="J380" s="105" t="s">
        <v>53</v>
      </c>
      <c r="K380" s="105">
        <v>0.01</v>
      </c>
      <c r="L380" s="105">
        <v>0.05</v>
      </c>
      <c r="M380" s="105">
        <v>0.1</v>
      </c>
      <c r="N380" s="105">
        <v>0.2</v>
      </c>
      <c r="O380" s="105">
        <v>0.3</v>
      </c>
      <c r="P380" s="105">
        <v>0.4</v>
      </c>
      <c r="Q380" s="105">
        <v>0.5</v>
      </c>
      <c r="R380" s="105">
        <v>0.6</v>
      </c>
      <c r="S380" s="105">
        <v>0.7</v>
      </c>
      <c r="T380" s="105">
        <v>0.8</v>
      </c>
      <c r="U380" s="105">
        <v>0.9</v>
      </c>
      <c r="V380" s="105">
        <v>0.95</v>
      </c>
      <c r="W380" s="105">
        <v>0.99</v>
      </c>
      <c r="X380" s="105">
        <v>0.995</v>
      </c>
      <c r="Y380" s="105">
        <v>0.999</v>
      </c>
      <c r="Z380" s="105">
        <v>0.99950000000000006</v>
      </c>
      <c r="AA380" s="105">
        <v>0.99990000000000001</v>
      </c>
    </row>
    <row r="381" spans="1:27" x14ac:dyDescent="0.2">
      <c r="B381" s="105" t="s">
        <v>771</v>
      </c>
      <c r="C381" s="105" t="s">
        <v>772</v>
      </c>
      <c r="D381" s="105" t="s">
        <v>118</v>
      </c>
      <c r="E381" s="105" t="s">
        <v>119</v>
      </c>
      <c r="F381" s="105" t="s">
        <v>120</v>
      </c>
      <c r="G381" s="105" t="s">
        <v>68</v>
      </c>
      <c r="H381" s="105" t="s">
        <v>121</v>
      </c>
      <c r="I381" s="105" t="s">
        <v>122</v>
      </c>
      <c r="J381" s="105" t="s">
        <v>123</v>
      </c>
      <c r="K381" s="105" t="s">
        <v>124</v>
      </c>
      <c r="L381" s="105" t="s">
        <v>125</v>
      </c>
      <c r="M381" s="105" t="s">
        <v>126</v>
      </c>
      <c r="N381" s="105" t="s">
        <v>127</v>
      </c>
      <c r="O381" s="105" t="s">
        <v>128</v>
      </c>
      <c r="P381" s="105" t="s">
        <v>129</v>
      </c>
      <c r="Q381" s="105" t="s">
        <v>130</v>
      </c>
      <c r="R381" s="105" t="s">
        <v>131</v>
      </c>
      <c r="S381" s="105" t="s">
        <v>132</v>
      </c>
      <c r="T381" s="105" t="s">
        <v>133</v>
      </c>
      <c r="U381" s="105" t="s">
        <v>134</v>
      </c>
      <c r="V381" s="105" t="s">
        <v>135</v>
      </c>
      <c r="W381" s="105" t="s">
        <v>90</v>
      </c>
      <c r="X381" s="105" t="s">
        <v>136</v>
      </c>
      <c r="Y381" s="105" t="s">
        <v>137</v>
      </c>
      <c r="Z381" s="105" t="s">
        <v>137</v>
      </c>
      <c r="AA381" s="105" t="s">
        <v>138</v>
      </c>
    </row>
    <row r="382" spans="1:27" x14ac:dyDescent="0.2">
      <c r="A382" s="105" t="s">
        <v>770</v>
      </c>
      <c r="C382" s="105" t="s">
        <v>773</v>
      </c>
      <c r="D382" s="105">
        <v>2913.4330708661419</v>
      </c>
      <c r="E382" s="105">
        <v>91</v>
      </c>
      <c r="K382" s="105">
        <v>67</v>
      </c>
      <c r="L382" s="105">
        <v>70</v>
      </c>
      <c r="M382" s="105">
        <v>71</v>
      </c>
      <c r="N382" s="105">
        <v>73</v>
      </c>
      <c r="O382" s="105">
        <v>74</v>
      </c>
      <c r="P382" s="105">
        <v>74</v>
      </c>
      <c r="Q382" s="105">
        <v>75</v>
      </c>
      <c r="R382" s="105">
        <v>76</v>
      </c>
      <c r="S382" s="105">
        <v>77</v>
      </c>
      <c r="T382" s="105">
        <v>79</v>
      </c>
      <c r="U382" s="105">
        <v>87</v>
      </c>
      <c r="V382" s="105">
        <v>94</v>
      </c>
      <c r="W382" s="105">
        <v>131</v>
      </c>
      <c r="X382" s="105">
        <v>36582.835820895518</v>
      </c>
      <c r="Y382" s="105">
        <v>36974.626865671642</v>
      </c>
      <c r="Z382" s="105">
        <v>49035</v>
      </c>
      <c r="AA382" s="105">
        <v>49035</v>
      </c>
    </row>
    <row r="383" spans="1:27" x14ac:dyDescent="0.2">
      <c r="C383" s="105" t="s">
        <v>774</v>
      </c>
      <c r="D383" s="105">
        <v>358.57637795275588</v>
      </c>
      <c r="E383" s="105">
        <v>11.2</v>
      </c>
      <c r="K383" s="105">
        <v>850.07465892062817</v>
      </c>
      <c r="L383" s="105">
        <v>899.66726975314782</v>
      </c>
      <c r="M383" s="105">
        <v>946.44608572089521</v>
      </c>
      <c r="N383" s="105">
        <v>1005.0087926490683</v>
      </c>
      <c r="O383" s="105">
        <v>1050.3182438915228</v>
      </c>
      <c r="P383" s="105">
        <v>1080.4443003567637</v>
      </c>
      <c r="Q383" s="105">
        <v>1077.9156131991381</v>
      </c>
      <c r="R383" s="105">
        <v>1103.2005103734161</v>
      </c>
      <c r="S383" s="105">
        <v>1115.6941711278546</v>
      </c>
      <c r="T383" s="105">
        <v>1124.1473555070886</v>
      </c>
      <c r="U383" s="105">
        <v>1206.8638719140818</v>
      </c>
      <c r="V383" s="105">
        <v>1304.5660668847695</v>
      </c>
      <c r="W383" s="105">
        <v>1738.264892311887</v>
      </c>
      <c r="X383" s="105">
        <v>340165.60194020363</v>
      </c>
      <c r="Y383" s="105">
        <v>343808.67207379144</v>
      </c>
      <c r="Z383" s="105">
        <v>343808.67207379144</v>
      </c>
      <c r="AA383" s="105">
        <v>347444.80302617239</v>
      </c>
    </row>
    <row r="384" spans="1:27" x14ac:dyDescent="0.2">
      <c r="C384" s="105" t="s">
        <v>775</v>
      </c>
      <c r="D384" s="105" t="s">
        <v>201</v>
      </c>
      <c r="E384" s="105">
        <v>90.1</v>
      </c>
      <c r="F384" s="105" t="s">
        <v>203</v>
      </c>
      <c r="G384" s="105" t="s">
        <v>110</v>
      </c>
      <c r="H384" s="105" t="s">
        <v>204</v>
      </c>
      <c r="I384" s="105" t="s">
        <v>205</v>
      </c>
      <c r="J384" s="105" t="s">
        <v>206</v>
      </c>
      <c r="K384" s="105" t="s">
        <v>113</v>
      </c>
      <c r="L384" s="105" t="s">
        <v>114</v>
      </c>
      <c r="M384" s="105" t="s">
        <v>207</v>
      </c>
      <c r="N384" s="105" t="s">
        <v>147</v>
      </c>
      <c r="O384" s="105" t="s">
        <v>115</v>
      </c>
      <c r="P384" s="105" t="s">
        <v>115</v>
      </c>
      <c r="Q384" s="105" t="s">
        <v>148</v>
      </c>
      <c r="R384" s="105" t="s">
        <v>149</v>
      </c>
      <c r="S384" s="105" t="s">
        <v>165</v>
      </c>
      <c r="T384" s="105" t="s">
        <v>166</v>
      </c>
      <c r="U384" s="105" t="s">
        <v>151</v>
      </c>
      <c r="V384" s="105" t="s">
        <v>182</v>
      </c>
      <c r="W384" s="105" t="s">
        <v>208</v>
      </c>
      <c r="X384" s="105" t="s">
        <v>199</v>
      </c>
      <c r="Y384" s="105" t="s">
        <v>209</v>
      </c>
      <c r="Z384" s="105" t="s">
        <v>136</v>
      </c>
      <c r="AA384" s="105" t="s">
        <v>136</v>
      </c>
    </row>
    <row r="385" spans="2:27" x14ac:dyDescent="0.2">
      <c r="C385" s="105" t="s">
        <v>776</v>
      </c>
      <c r="D385" s="105" t="s">
        <v>201</v>
      </c>
      <c r="E385" s="105" t="s">
        <v>202</v>
      </c>
      <c r="F385" s="105" t="s">
        <v>203</v>
      </c>
      <c r="G385" s="105" t="s">
        <v>110</v>
      </c>
      <c r="H385" s="105" t="s">
        <v>204</v>
      </c>
      <c r="I385" s="105" t="s">
        <v>205</v>
      </c>
      <c r="J385" s="105" t="s">
        <v>206</v>
      </c>
      <c r="K385" s="105" t="s">
        <v>113</v>
      </c>
      <c r="L385" s="105" t="s">
        <v>114</v>
      </c>
      <c r="M385" s="105" t="s">
        <v>207</v>
      </c>
      <c r="N385" s="105" t="s">
        <v>147</v>
      </c>
      <c r="O385" s="105" t="s">
        <v>115</v>
      </c>
      <c r="P385" s="105" t="s">
        <v>115</v>
      </c>
      <c r="Q385" s="105" t="s">
        <v>148</v>
      </c>
      <c r="R385" s="105" t="s">
        <v>149</v>
      </c>
      <c r="S385" s="105" t="s">
        <v>165</v>
      </c>
      <c r="T385" s="105" t="s">
        <v>166</v>
      </c>
      <c r="U385" s="105" t="s">
        <v>151</v>
      </c>
      <c r="V385" s="105" t="s">
        <v>182</v>
      </c>
      <c r="W385" s="105" t="s">
        <v>208</v>
      </c>
      <c r="X385" s="105" t="s">
        <v>199</v>
      </c>
      <c r="Y385" s="105" t="s">
        <v>209</v>
      </c>
      <c r="Z385" s="105" t="s">
        <v>136</v>
      </c>
      <c r="AA385" s="105" t="s">
        <v>136</v>
      </c>
    </row>
    <row r="387" spans="2:27" x14ac:dyDescent="0.2">
      <c r="D387" s="105" t="s">
        <v>47</v>
      </c>
      <c r="E387" s="105" t="s">
        <v>48</v>
      </c>
      <c r="F387" s="105" t="s">
        <v>49</v>
      </c>
      <c r="G387" s="105" t="s">
        <v>50</v>
      </c>
      <c r="H387" s="105" t="s">
        <v>51</v>
      </c>
      <c r="I387" s="105" t="s">
        <v>52</v>
      </c>
      <c r="J387" s="105" t="s">
        <v>53</v>
      </c>
      <c r="K387" s="105">
        <v>0.01</v>
      </c>
      <c r="L387" s="105">
        <v>0.05</v>
      </c>
      <c r="M387" s="105">
        <v>0.1</v>
      </c>
      <c r="N387" s="105">
        <v>0.2</v>
      </c>
      <c r="O387" s="105">
        <v>0.3</v>
      </c>
      <c r="P387" s="105">
        <v>0.4</v>
      </c>
      <c r="Q387" s="105">
        <v>0.5</v>
      </c>
      <c r="R387" s="105">
        <v>0.6</v>
      </c>
      <c r="S387" s="105">
        <v>0.7</v>
      </c>
      <c r="T387" s="105">
        <v>0.8</v>
      </c>
      <c r="U387" s="105">
        <v>0.9</v>
      </c>
      <c r="V387" s="105">
        <v>0.95</v>
      </c>
      <c r="W387" s="105">
        <v>0.99</v>
      </c>
      <c r="X387" s="105">
        <v>0.995</v>
      </c>
      <c r="Y387" s="105">
        <v>0.999</v>
      </c>
      <c r="Z387" s="105">
        <v>0.99950000000000006</v>
      </c>
      <c r="AA387" s="105">
        <v>0.99990000000000001</v>
      </c>
    </row>
    <row r="388" spans="2:27" x14ac:dyDescent="0.2">
      <c r="B388" s="105" t="s">
        <v>777</v>
      </c>
      <c r="C388" s="105" t="s">
        <v>772</v>
      </c>
      <c r="D388" s="105" t="s">
        <v>590</v>
      </c>
      <c r="E388" s="105" t="s">
        <v>591</v>
      </c>
      <c r="F388" s="105" t="s">
        <v>592</v>
      </c>
      <c r="G388" s="105" t="s">
        <v>95</v>
      </c>
      <c r="H388" s="105" t="s">
        <v>593</v>
      </c>
      <c r="I388" s="105" t="s">
        <v>594</v>
      </c>
      <c r="J388" s="105" t="s">
        <v>595</v>
      </c>
      <c r="K388" s="105" t="s">
        <v>81</v>
      </c>
      <c r="L388" s="105" t="s">
        <v>68</v>
      </c>
      <c r="M388" s="105" t="s">
        <v>68</v>
      </c>
      <c r="N388" s="105" t="s">
        <v>68</v>
      </c>
      <c r="O388" s="105" t="s">
        <v>68</v>
      </c>
      <c r="P388" s="105" t="s">
        <v>244</v>
      </c>
      <c r="Q388" s="105" t="s">
        <v>233</v>
      </c>
      <c r="R388" s="105" t="s">
        <v>111</v>
      </c>
      <c r="S388" s="105" t="s">
        <v>125</v>
      </c>
      <c r="T388" s="105" t="s">
        <v>152</v>
      </c>
      <c r="U388" s="105" t="s">
        <v>342</v>
      </c>
      <c r="V388" s="105" t="s">
        <v>263</v>
      </c>
      <c r="W388" s="105" t="s">
        <v>322</v>
      </c>
      <c r="X388" s="105" t="s">
        <v>596</v>
      </c>
      <c r="Y388" s="105" t="s">
        <v>597</v>
      </c>
      <c r="Z388" s="105" t="s">
        <v>597</v>
      </c>
      <c r="AA388" s="105" t="s">
        <v>597</v>
      </c>
    </row>
    <row r="389" spans="2:27" x14ac:dyDescent="0.2">
      <c r="C389" s="105" t="s">
        <v>773</v>
      </c>
      <c r="D389" s="105">
        <v>4514.6503884572703</v>
      </c>
      <c r="E389" s="105">
        <v>141.3984461709212</v>
      </c>
    </row>
    <row r="390" spans="2:27" x14ac:dyDescent="0.2">
      <c r="C390" s="105" t="s">
        <v>774</v>
      </c>
      <c r="D390" s="105">
        <v>836.59746835443036</v>
      </c>
      <c r="E390" s="105">
        <v>26.133333333333333</v>
      </c>
    </row>
    <row r="391" spans="2:27" x14ac:dyDescent="0.2">
      <c r="C391" s="105" t="s">
        <v>775</v>
      </c>
      <c r="D391" s="105" t="s">
        <v>210</v>
      </c>
      <c r="E391" s="105" t="s">
        <v>211</v>
      </c>
      <c r="F391" s="105" t="s">
        <v>212</v>
      </c>
      <c r="G391" s="105" t="s">
        <v>213</v>
      </c>
      <c r="H391" s="105" t="s">
        <v>214</v>
      </c>
      <c r="I391" s="105" t="s">
        <v>215</v>
      </c>
      <c r="J391" s="105" t="s">
        <v>216</v>
      </c>
      <c r="K391" s="105" t="s">
        <v>108</v>
      </c>
      <c r="L391" s="105" t="s">
        <v>113</v>
      </c>
      <c r="M391" s="105" t="s">
        <v>114</v>
      </c>
      <c r="N391" s="105" t="s">
        <v>147</v>
      </c>
      <c r="O391" s="105" t="s">
        <v>148</v>
      </c>
      <c r="P391" s="105" t="s">
        <v>150</v>
      </c>
      <c r="Q391" s="105" t="s">
        <v>166</v>
      </c>
      <c r="R391" s="105" t="s">
        <v>217</v>
      </c>
      <c r="S391" s="105" t="s">
        <v>218</v>
      </c>
      <c r="T391" s="105" t="s">
        <v>151</v>
      </c>
      <c r="U391" s="105" t="s">
        <v>182</v>
      </c>
      <c r="V391" s="105" t="s">
        <v>130</v>
      </c>
      <c r="W391" s="105" t="s">
        <v>196</v>
      </c>
      <c r="X391" s="105" t="s">
        <v>199</v>
      </c>
      <c r="Y391" s="105" t="s">
        <v>219</v>
      </c>
      <c r="Z391" s="105" t="s">
        <v>136</v>
      </c>
      <c r="AA391" s="105" t="s">
        <v>136</v>
      </c>
    </row>
    <row r="392" spans="2:27" x14ac:dyDescent="0.2">
      <c r="C392" s="105" t="s">
        <v>776</v>
      </c>
      <c r="D392" s="105" t="s">
        <v>210</v>
      </c>
      <c r="E392" s="105" t="s">
        <v>211</v>
      </c>
      <c r="F392" s="105" t="s">
        <v>212</v>
      </c>
      <c r="G392" s="105" t="s">
        <v>213</v>
      </c>
      <c r="H392" s="105" t="s">
        <v>214</v>
      </c>
      <c r="I392" s="105" t="s">
        <v>215</v>
      </c>
      <c r="J392" s="105" t="s">
        <v>216</v>
      </c>
      <c r="K392" s="105" t="s">
        <v>108</v>
      </c>
      <c r="L392" s="105" t="s">
        <v>113</v>
      </c>
      <c r="M392" s="105" t="s">
        <v>114</v>
      </c>
      <c r="N392" s="105" t="s">
        <v>147</v>
      </c>
      <c r="O392" s="105" t="s">
        <v>148</v>
      </c>
      <c r="P392" s="105" t="s">
        <v>150</v>
      </c>
      <c r="Q392" s="105" t="s">
        <v>166</v>
      </c>
      <c r="R392" s="105" t="s">
        <v>217</v>
      </c>
      <c r="S392" s="105" t="s">
        <v>218</v>
      </c>
      <c r="T392" s="105" t="s">
        <v>151</v>
      </c>
      <c r="U392" s="105" t="s">
        <v>182</v>
      </c>
      <c r="V392" s="105" t="s">
        <v>130</v>
      </c>
      <c r="W392" s="105" t="s">
        <v>196</v>
      </c>
      <c r="X392" s="105" t="s">
        <v>199</v>
      </c>
      <c r="Y392" s="105" t="s">
        <v>219</v>
      </c>
      <c r="Z392" s="105" t="s">
        <v>136</v>
      </c>
      <c r="AA392" s="105" t="s">
        <v>136</v>
      </c>
    </row>
    <row r="394" spans="2:27" x14ac:dyDescent="0.2">
      <c r="D394" s="105" t="s">
        <v>47</v>
      </c>
      <c r="E394" s="105" t="s">
        <v>48</v>
      </c>
      <c r="F394" s="105" t="s">
        <v>49</v>
      </c>
      <c r="G394" s="105" t="s">
        <v>50</v>
      </c>
      <c r="H394" s="105" t="s">
        <v>51</v>
      </c>
      <c r="I394" s="105" t="s">
        <v>52</v>
      </c>
      <c r="J394" s="105" t="s">
        <v>53</v>
      </c>
      <c r="K394" s="105">
        <v>0.01</v>
      </c>
      <c r="L394" s="105">
        <v>0.05</v>
      </c>
      <c r="M394" s="105">
        <v>0.1</v>
      </c>
      <c r="N394" s="105">
        <v>0.2</v>
      </c>
      <c r="O394" s="105">
        <v>0.3</v>
      </c>
      <c r="P394" s="105">
        <v>0.4</v>
      </c>
      <c r="Q394" s="105">
        <v>0.5</v>
      </c>
      <c r="R394" s="105">
        <v>0.6</v>
      </c>
      <c r="S394" s="105">
        <v>0.7</v>
      </c>
      <c r="T394" s="105">
        <v>0.8</v>
      </c>
      <c r="U394" s="105">
        <v>0.9</v>
      </c>
      <c r="V394" s="105">
        <v>0.95</v>
      </c>
      <c r="W394" s="105">
        <v>0.99</v>
      </c>
      <c r="X394" s="105">
        <v>0.995</v>
      </c>
      <c r="Y394" s="105">
        <v>0.999</v>
      </c>
      <c r="Z394" s="105">
        <v>0.99950000000000006</v>
      </c>
      <c r="AA394" s="105">
        <v>0.99990000000000001</v>
      </c>
    </row>
    <row r="395" spans="2:27" x14ac:dyDescent="0.2">
      <c r="B395" s="105" t="s">
        <v>778</v>
      </c>
      <c r="C395" s="105" t="s">
        <v>772</v>
      </c>
      <c r="D395" s="105">
        <v>2688</v>
      </c>
      <c r="E395" s="105">
        <v>84</v>
      </c>
    </row>
    <row r="396" spans="2:27" x14ac:dyDescent="0.2">
      <c r="C396" s="105" t="s">
        <v>773</v>
      </c>
      <c r="D396" s="105">
        <v>5610.2339181286552</v>
      </c>
      <c r="E396" s="105">
        <v>175</v>
      </c>
    </row>
    <row r="397" spans="2:27" x14ac:dyDescent="0.2">
      <c r="C397" s="105" t="s">
        <v>774</v>
      </c>
      <c r="D397" s="105">
        <v>1240.6153846153845</v>
      </c>
      <c r="E397" s="105">
        <v>38.769230769230766</v>
      </c>
    </row>
    <row r="398" spans="2:27" x14ac:dyDescent="0.2">
      <c r="C398" s="105" t="s">
        <v>775</v>
      </c>
      <c r="D398" s="105" t="s">
        <v>220</v>
      </c>
      <c r="E398" s="105" t="s">
        <v>221</v>
      </c>
      <c r="F398" s="105" t="s">
        <v>222</v>
      </c>
      <c r="G398" s="105" t="s">
        <v>223</v>
      </c>
      <c r="H398" s="105" t="s">
        <v>224</v>
      </c>
      <c r="I398" s="105" t="s">
        <v>225</v>
      </c>
      <c r="J398" s="105" t="s">
        <v>226</v>
      </c>
      <c r="K398" s="105" t="s">
        <v>108</v>
      </c>
      <c r="L398" s="105" t="s">
        <v>110</v>
      </c>
      <c r="M398" s="105" t="s">
        <v>77</v>
      </c>
      <c r="N398" s="105" t="s">
        <v>114</v>
      </c>
      <c r="O398" s="105" t="s">
        <v>146</v>
      </c>
      <c r="P398" s="105" t="s">
        <v>115</v>
      </c>
      <c r="Q398" s="105" t="s">
        <v>149</v>
      </c>
      <c r="R398" s="105" t="s">
        <v>150</v>
      </c>
      <c r="S398" s="105" t="s">
        <v>167</v>
      </c>
      <c r="T398" s="105" t="s">
        <v>116</v>
      </c>
      <c r="U398" s="105" t="s">
        <v>227</v>
      </c>
      <c r="V398" s="105" t="s">
        <v>132</v>
      </c>
      <c r="W398" s="105" t="s">
        <v>228</v>
      </c>
      <c r="X398" s="105" t="s">
        <v>209</v>
      </c>
      <c r="Y398" s="105" t="s">
        <v>229</v>
      </c>
      <c r="Z398" s="105" t="s">
        <v>136</v>
      </c>
      <c r="AA398" s="105" t="s">
        <v>136</v>
      </c>
    </row>
    <row r="399" spans="2:27" x14ac:dyDescent="0.2">
      <c r="C399" s="105" t="s">
        <v>776</v>
      </c>
      <c r="D399" s="105" t="s">
        <v>220</v>
      </c>
      <c r="E399" s="105" t="s">
        <v>221</v>
      </c>
      <c r="F399" s="105" t="s">
        <v>222</v>
      </c>
      <c r="G399" s="105" t="s">
        <v>223</v>
      </c>
      <c r="H399" s="105" t="s">
        <v>224</v>
      </c>
      <c r="I399" s="105" t="s">
        <v>225</v>
      </c>
      <c r="J399" s="105" t="s">
        <v>226</v>
      </c>
      <c r="K399" s="105" t="s">
        <v>108</v>
      </c>
      <c r="L399" s="105" t="s">
        <v>110</v>
      </c>
      <c r="M399" s="105" t="s">
        <v>77</v>
      </c>
      <c r="N399" s="105" t="s">
        <v>114</v>
      </c>
      <c r="O399" s="105" t="s">
        <v>146</v>
      </c>
      <c r="P399" s="105" t="s">
        <v>115</v>
      </c>
      <c r="Q399" s="105" t="s">
        <v>149</v>
      </c>
      <c r="R399" s="105" t="s">
        <v>150</v>
      </c>
      <c r="S399" s="105" t="s">
        <v>167</v>
      </c>
      <c r="T399" s="105" t="s">
        <v>116</v>
      </c>
      <c r="U399" s="105" t="s">
        <v>227</v>
      </c>
      <c r="V399" s="105" t="s">
        <v>132</v>
      </c>
      <c r="W399" s="105" t="s">
        <v>228</v>
      </c>
      <c r="X399" s="105" t="s">
        <v>209</v>
      </c>
      <c r="Y399" s="105" t="s">
        <v>229</v>
      </c>
      <c r="Z399" s="105" t="s">
        <v>136</v>
      </c>
      <c r="AA399" s="105" t="s">
        <v>136</v>
      </c>
    </row>
    <row r="401" spans="2:27" x14ac:dyDescent="0.2">
      <c r="D401" s="105" t="s">
        <v>47</v>
      </c>
      <c r="E401" s="105" t="s">
        <v>48</v>
      </c>
      <c r="F401" s="105" t="s">
        <v>49</v>
      </c>
      <c r="G401" s="105" t="s">
        <v>50</v>
      </c>
      <c r="H401" s="105" t="s">
        <v>51</v>
      </c>
      <c r="I401" s="105" t="s">
        <v>52</v>
      </c>
      <c r="J401" s="105" t="s">
        <v>53</v>
      </c>
      <c r="K401" s="105">
        <v>0.01</v>
      </c>
      <c r="L401" s="105">
        <v>0.05</v>
      </c>
      <c r="M401" s="105">
        <v>0.1</v>
      </c>
      <c r="N401" s="105">
        <v>0.2</v>
      </c>
      <c r="O401" s="105">
        <v>0.3</v>
      </c>
      <c r="P401" s="105">
        <v>0.4</v>
      </c>
      <c r="Q401" s="105">
        <v>0.5</v>
      </c>
      <c r="R401" s="105">
        <v>0.6</v>
      </c>
      <c r="S401" s="105">
        <v>0.7</v>
      </c>
      <c r="T401" s="105">
        <v>0.8</v>
      </c>
      <c r="U401" s="105">
        <v>0.9</v>
      </c>
      <c r="V401" s="105">
        <v>0.95</v>
      </c>
      <c r="W401" s="105">
        <v>0.99</v>
      </c>
      <c r="X401" s="105">
        <v>0.995</v>
      </c>
      <c r="Y401" s="105">
        <v>0.999</v>
      </c>
      <c r="Z401" s="105">
        <v>0.99950000000000006</v>
      </c>
      <c r="AA401" s="105">
        <v>0.99990000000000001</v>
      </c>
    </row>
    <row r="402" spans="2:27" x14ac:dyDescent="0.2">
      <c r="B402" s="105" t="s">
        <v>779</v>
      </c>
      <c r="C402" s="105" t="s">
        <v>772</v>
      </c>
      <c r="D402" s="105">
        <v>2690</v>
      </c>
      <c r="E402" s="105">
        <v>84.1</v>
      </c>
    </row>
    <row r="403" spans="2:27" x14ac:dyDescent="0.2">
      <c r="C403" s="105" t="s">
        <v>773</v>
      </c>
      <c r="D403" s="105">
        <v>5799.24</v>
      </c>
      <c r="E403" s="105">
        <v>181</v>
      </c>
    </row>
    <row r="404" spans="2:27" x14ac:dyDescent="0.2">
      <c r="C404" s="105" t="s">
        <v>774</v>
      </c>
      <c r="D404" s="105">
        <v>1616.6736790755817</v>
      </c>
      <c r="E404" s="105">
        <v>50.543589743589742</v>
      </c>
    </row>
    <row r="405" spans="2:27" x14ac:dyDescent="0.2">
      <c r="C405" s="105" t="s">
        <v>775</v>
      </c>
      <c r="D405" s="105" t="s">
        <v>230</v>
      </c>
      <c r="E405" s="105" t="s">
        <v>231</v>
      </c>
      <c r="F405" s="105" t="s">
        <v>232</v>
      </c>
      <c r="G405" s="105" t="s">
        <v>233</v>
      </c>
      <c r="H405" s="105" t="s">
        <v>234</v>
      </c>
      <c r="I405" s="105" t="s">
        <v>235</v>
      </c>
      <c r="J405" s="105" t="s">
        <v>236</v>
      </c>
      <c r="K405" s="105" t="s">
        <v>107</v>
      </c>
      <c r="L405" s="105" t="s">
        <v>111</v>
      </c>
      <c r="M405" s="105" t="s">
        <v>77</v>
      </c>
      <c r="N405" s="105" t="s">
        <v>114</v>
      </c>
      <c r="O405" s="105" t="s">
        <v>146</v>
      </c>
      <c r="P405" s="105" t="s">
        <v>115</v>
      </c>
      <c r="Q405" s="105" t="s">
        <v>149</v>
      </c>
      <c r="R405" s="105" t="s">
        <v>166</v>
      </c>
      <c r="S405" s="105" t="s">
        <v>168</v>
      </c>
      <c r="T405" s="105" t="s">
        <v>237</v>
      </c>
      <c r="U405" s="105" t="s">
        <v>238</v>
      </c>
      <c r="V405" s="105" t="s">
        <v>239</v>
      </c>
      <c r="W405" s="105" t="s">
        <v>99</v>
      </c>
      <c r="X405" s="105" t="s">
        <v>209</v>
      </c>
      <c r="Y405" s="105" t="s">
        <v>240</v>
      </c>
      <c r="Z405" s="105" t="s">
        <v>136</v>
      </c>
      <c r="AA405" s="105" t="s">
        <v>136</v>
      </c>
    </row>
    <row r="406" spans="2:27" x14ac:dyDescent="0.2">
      <c r="C406" s="105" t="s">
        <v>776</v>
      </c>
      <c r="D406" s="105" t="s">
        <v>230</v>
      </c>
      <c r="E406" s="105" t="s">
        <v>231</v>
      </c>
      <c r="F406" s="105" t="s">
        <v>232</v>
      </c>
      <c r="G406" s="105" t="s">
        <v>233</v>
      </c>
      <c r="H406" s="105" t="s">
        <v>234</v>
      </c>
      <c r="I406" s="105" t="s">
        <v>235</v>
      </c>
      <c r="J406" s="105" t="s">
        <v>236</v>
      </c>
      <c r="K406" s="105" t="s">
        <v>107</v>
      </c>
      <c r="L406" s="105" t="s">
        <v>111</v>
      </c>
      <c r="M406" s="105" t="s">
        <v>77</v>
      </c>
      <c r="N406" s="105" t="s">
        <v>114</v>
      </c>
      <c r="O406" s="105" t="s">
        <v>146</v>
      </c>
      <c r="P406" s="105" t="s">
        <v>115</v>
      </c>
      <c r="Q406" s="105" t="s">
        <v>149</v>
      </c>
      <c r="R406" s="105" t="s">
        <v>166</v>
      </c>
      <c r="S406" s="105" t="s">
        <v>168</v>
      </c>
      <c r="T406" s="105" t="s">
        <v>237</v>
      </c>
      <c r="U406" s="105" t="s">
        <v>238</v>
      </c>
      <c r="V406" s="105" t="s">
        <v>239</v>
      </c>
      <c r="W406" s="105" t="s">
        <v>99</v>
      </c>
      <c r="X406" s="105" t="s">
        <v>209</v>
      </c>
      <c r="Y406" s="105" t="s">
        <v>240</v>
      </c>
      <c r="Z406" s="105" t="s">
        <v>136</v>
      </c>
      <c r="AA406" s="105" t="s">
        <v>136</v>
      </c>
    </row>
    <row r="409" spans="2:27" x14ac:dyDescent="0.2">
      <c r="D409" s="105" t="s">
        <v>47</v>
      </c>
      <c r="E409" s="105" t="s">
        <v>48</v>
      </c>
      <c r="F409" s="105" t="s">
        <v>49</v>
      </c>
      <c r="G409" s="105" t="s">
        <v>50</v>
      </c>
      <c r="H409" s="105" t="s">
        <v>51</v>
      </c>
      <c r="I409" s="105" t="s">
        <v>52</v>
      </c>
      <c r="J409" s="105" t="s">
        <v>53</v>
      </c>
      <c r="K409" s="105">
        <v>0.01</v>
      </c>
      <c r="L409" s="105">
        <v>0.05</v>
      </c>
      <c r="M409" s="105">
        <v>0.1</v>
      </c>
      <c r="N409" s="105">
        <v>0.2</v>
      </c>
      <c r="O409" s="105">
        <v>0.3</v>
      </c>
      <c r="P409" s="105">
        <v>0.4</v>
      </c>
      <c r="Q409" s="105">
        <v>0.5</v>
      </c>
      <c r="R409" s="105">
        <v>0.6</v>
      </c>
      <c r="S409" s="105">
        <v>0.7</v>
      </c>
      <c r="T409" s="105">
        <v>0.8</v>
      </c>
      <c r="U409" s="105">
        <v>0.9</v>
      </c>
      <c r="V409" s="105">
        <v>0.95</v>
      </c>
      <c r="W409" s="105">
        <v>0.99</v>
      </c>
      <c r="X409" s="105">
        <v>0.995</v>
      </c>
      <c r="Y409" s="105">
        <v>0.999</v>
      </c>
      <c r="Z409" s="105">
        <v>0.99950000000000006</v>
      </c>
      <c r="AA409" s="105">
        <v>0.99990000000000001</v>
      </c>
    </row>
    <row r="410" spans="2:27" x14ac:dyDescent="0.2">
      <c r="B410" s="105" t="s">
        <v>781</v>
      </c>
      <c r="C410" s="105" t="s">
        <v>772</v>
      </c>
      <c r="D410" s="105">
        <v>28.2</v>
      </c>
      <c r="E410" s="105">
        <v>883</v>
      </c>
      <c r="F410" s="105">
        <v>926</v>
      </c>
      <c r="G410" s="105" t="s">
        <v>82</v>
      </c>
      <c r="H410" s="105" t="s">
        <v>83</v>
      </c>
      <c r="I410" s="105" t="s">
        <v>84</v>
      </c>
      <c r="J410" s="105" t="s">
        <v>85</v>
      </c>
      <c r="K410" s="105" t="s">
        <v>68</v>
      </c>
      <c r="L410" s="105" t="s">
        <v>86</v>
      </c>
      <c r="M410" s="105" t="s">
        <v>86</v>
      </c>
      <c r="N410" s="105" t="s">
        <v>87</v>
      </c>
      <c r="O410" s="105" t="s">
        <v>87</v>
      </c>
      <c r="P410" s="105" t="s">
        <v>88</v>
      </c>
      <c r="Q410" s="105" t="s">
        <v>89</v>
      </c>
      <c r="R410" s="105" t="s">
        <v>242</v>
      </c>
      <c r="S410" s="105" t="s">
        <v>243</v>
      </c>
      <c r="T410" s="105" t="s">
        <v>252</v>
      </c>
      <c r="U410" s="105" t="s">
        <v>254</v>
      </c>
      <c r="V410" s="105" t="s">
        <v>75</v>
      </c>
      <c r="W410" s="105" t="s">
        <v>108</v>
      </c>
      <c r="X410" s="105" t="s">
        <v>111</v>
      </c>
      <c r="Y410" s="105" t="s">
        <v>168</v>
      </c>
      <c r="Z410" s="105" t="s">
        <v>227</v>
      </c>
      <c r="AA410" s="105" t="s">
        <v>425</v>
      </c>
    </row>
    <row r="411" spans="2:27" x14ac:dyDescent="0.2">
      <c r="C411" s="105" t="s">
        <v>773</v>
      </c>
      <c r="D411" s="105">
        <v>31.865999999999996</v>
      </c>
      <c r="E411" s="105">
        <v>997.78999999999985</v>
      </c>
      <c r="K411" s="105" t="s">
        <v>251</v>
      </c>
      <c r="L411" s="105" t="s">
        <v>96</v>
      </c>
      <c r="M411" s="105" t="s">
        <v>98</v>
      </c>
      <c r="N411" s="105" t="s">
        <v>81</v>
      </c>
      <c r="O411" s="105" t="s">
        <v>68</v>
      </c>
      <c r="P411" s="105" t="s">
        <v>86</v>
      </c>
      <c r="Q411" s="105" t="s">
        <v>86</v>
      </c>
      <c r="R411" s="105" t="s">
        <v>87</v>
      </c>
      <c r="S411" s="105" t="s">
        <v>88</v>
      </c>
      <c r="T411" s="105" t="s">
        <v>244</v>
      </c>
      <c r="U411" s="105" t="s">
        <v>69</v>
      </c>
      <c r="V411" s="105" t="s">
        <v>71</v>
      </c>
      <c r="W411" s="105" t="s">
        <v>256</v>
      </c>
      <c r="X411" s="105" t="s">
        <v>76</v>
      </c>
      <c r="Y411" s="105" t="s">
        <v>114</v>
      </c>
      <c r="Z411" s="105" t="s">
        <v>150</v>
      </c>
      <c r="AA411" s="105" t="s">
        <v>327</v>
      </c>
    </row>
    <row r="412" spans="2:27" x14ac:dyDescent="0.2">
      <c r="C412" s="105" t="s">
        <v>774</v>
      </c>
      <c r="D412" s="105">
        <v>4.9693318233295587</v>
      </c>
      <c r="E412" s="105">
        <v>155.6</v>
      </c>
      <c r="K412" s="105">
        <v>164.56575432225333</v>
      </c>
      <c r="L412" s="105">
        <v>170.24043550577932</v>
      </c>
      <c r="M412" s="105">
        <v>170.24043550577932</v>
      </c>
      <c r="N412" s="105">
        <v>175.91511668930525</v>
      </c>
      <c r="O412" s="105">
        <v>175.91511668930525</v>
      </c>
      <c r="P412" s="105">
        <v>181.58979787283127</v>
      </c>
      <c r="Q412" s="105">
        <v>187.26447905635723</v>
      </c>
      <c r="R412" s="105">
        <v>192.93916023988322</v>
      </c>
      <c r="S412" s="105">
        <v>198.61384142340918</v>
      </c>
      <c r="T412" s="105">
        <v>204.28852260693517</v>
      </c>
      <c r="U412" s="105">
        <v>215.63788497398713</v>
      </c>
      <c r="V412" s="105">
        <v>266.71001562572087</v>
      </c>
      <c r="W412" s="105">
        <v>346.15555219508462</v>
      </c>
      <c r="X412" s="105">
        <v>709.05141388174809</v>
      </c>
      <c r="Y412" s="105">
        <v>897.16709511568115</v>
      </c>
      <c r="Z412" s="105">
        <v>1081.6651670951157</v>
      </c>
      <c r="AA412" s="105">
        <v>1834.1278920308482</v>
      </c>
    </row>
    <row r="413" spans="2:27" x14ac:dyDescent="0.2">
      <c r="C413" s="105" t="s">
        <v>775</v>
      </c>
      <c r="D413" s="105">
        <v>11.280000000000001</v>
      </c>
      <c r="E413" s="105">
        <v>380</v>
      </c>
      <c r="K413" s="105" t="s">
        <v>96</v>
      </c>
      <c r="L413" s="105" t="s">
        <v>96</v>
      </c>
      <c r="M413" s="105" t="s">
        <v>98</v>
      </c>
      <c r="N413" s="105" t="s">
        <v>87</v>
      </c>
      <c r="O413" s="105" t="s">
        <v>128</v>
      </c>
      <c r="P413" s="105" t="s">
        <v>429</v>
      </c>
      <c r="Q413" s="105" t="s">
        <v>429</v>
      </c>
      <c r="R413" s="105" t="s">
        <v>129</v>
      </c>
      <c r="S413" s="105" t="s">
        <v>130</v>
      </c>
      <c r="T413" s="105" t="s">
        <v>403</v>
      </c>
      <c r="U413" s="105" t="s">
        <v>664</v>
      </c>
      <c r="V413" s="105" t="s">
        <v>653</v>
      </c>
      <c r="W413" s="105" t="s">
        <v>315</v>
      </c>
      <c r="X413" s="105" t="s">
        <v>754</v>
      </c>
      <c r="Y413" s="105" t="s">
        <v>672</v>
      </c>
      <c r="Z413" s="105" t="s">
        <v>760</v>
      </c>
      <c r="AA413" s="105" t="s">
        <v>759</v>
      </c>
    </row>
    <row r="414" spans="2:27" x14ac:dyDescent="0.2">
      <c r="C414" s="105" t="s">
        <v>776</v>
      </c>
      <c r="D414" s="105">
        <v>30.4</v>
      </c>
      <c r="E414" s="105" t="s">
        <v>266</v>
      </c>
      <c r="F414" s="105" t="s">
        <v>267</v>
      </c>
      <c r="G414" s="105" t="s">
        <v>268</v>
      </c>
      <c r="H414" s="105" t="s">
        <v>269</v>
      </c>
      <c r="I414" s="105" t="s">
        <v>270</v>
      </c>
      <c r="J414" s="105" t="s">
        <v>271</v>
      </c>
      <c r="K414" s="105" t="s">
        <v>95</v>
      </c>
      <c r="L414" s="105" t="s">
        <v>95</v>
      </c>
      <c r="M414" s="105" t="s">
        <v>251</v>
      </c>
      <c r="N414" s="105" t="s">
        <v>98</v>
      </c>
      <c r="O414" s="105" t="s">
        <v>68</v>
      </c>
      <c r="P414" s="105" t="s">
        <v>86</v>
      </c>
      <c r="Q414" s="105" t="s">
        <v>88</v>
      </c>
      <c r="R414" s="105" t="s">
        <v>242</v>
      </c>
      <c r="S414" s="105" t="s">
        <v>243</v>
      </c>
      <c r="T414" s="105" t="s">
        <v>252</v>
      </c>
      <c r="U414" s="105" t="s">
        <v>244</v>
      </c>
      <c r="V414" s="105" t="s">
        <v>71</v>
      </c>
      <c r="W414" s="105" t="s">
        <v>106</v>
      </c>
      <c r="X414" s="105" t="s">
        <v>193</v>
      </c>
      <c r="Y414" s="105" t="s">
        <v>146</v>
      </c>
      <c r="Z414" s="105" t="s">
        <v>245</v>
      </c>
      <c r="AA414" s="105" t="s">
        <v>272</v>
      </c>
    </row>
    <row r="416" spans="2:27" x14ac:dyDescent="0.2">
      <c r="D416" s="105" t="s">
        <v>780</v>
      </c>
      <c r="E416" s="105" t="s">
        <v>48</v>
      </c>
      <c r="F416" s="105" t="s">
        <v>49</v>
      </c>
      <c r="G416" s="105" t="s">
        <v>50</v>
      </c>
      <c r="H416" s="105" t="s">
        <v>51</v>
      </c>
      <c r="I416" s="105" t="s">
        <v>52</v>
      </c>
      <c r="J416" s="105" t="s">
        <v>53</v>
      </c>
      <c r="K416" s="105">
        <v>0.01</v>
      </c>
      <c r="L416" s="105">
        <v>0.05</v>
      </c>
      <c r="M416" s="105">
        <v>0.1</v>
      </c>
      <c r="N416" s="105">
        <v>0.2</v>
      </c>
      <c r="O416" s="105">
        <v>0.3</v>
      </c>
      <c r="P416" s="105">
        <v>0.4</v>
      </c>
      <c r="Q416" s="105">
        <v>0.5</v>
      </c>
      <c r="R416" s="105">
        <v>0.6</v>
      </c>
      <c r="S416" s="105">
        <v>0.7</v>
      </c>
      <c r="T416" s="105">
        <v>0.8</v>
      </c>
      <c r="U416" s="105">
        <v>0.9</v>
      </c>
      <c r="V416" s="105">
        <v>0.95</v>
      </c>
      <c r="W416" s="105">
        <v>0.99</v>
      </c>
      <c r="X416" s="105">
        <v>0.995</v>
      </c>
      <c r="Y416" s="105">
        <v>0.999</v>
      </c>
      <c r="Z416" s="105">
        <v>0.99950000000000006</v>
      </c>
      <c r="AA416" s="105">
        <v>0.99990000000000001</v>
      </c>
    </row>
    <row r="417" spans="2:27" x14ac:dyDescent="0.2">
      <c r="B417" s="105" t="s">
        <v>782</v>
      </c>
      <c r="C417" s="105" t="s">
        <v>772</v>
      </c>
      <c r="D417" s="105">
        <v>37.4</v>
      </c>
      <c r="E417" s="105" t="s">
        <v>598</v>
      </c>
      <c r="F417" s="105" t="s">
        <v>599</v>
      </c>
      <c r="G417" s="105" t="s">
        <v>452</v>
      </c>
      <c r="H417" s="105" t="s">
        <v>600</v>
      </c>
      <c r="I417" s="105" t="s">
        <v>601</v>
      </c>
      <c r="K417" s="105" t="s">
        <v>95</v>
      </c>
      <c r="L417" s="105" t="s">
        <v>95</v>
      </c>
      <c r="M417" s="105" t="s">
        <v>251</v>
      </c>
      <c r="N417" s="105" t="s">
        <v>251</v>
      </c>
      <c r="O417" s="105" t="s">
        <v>96</v>
      </c>
      <c r="P417" s="105" t="s">
        <v>96</v>
      </c>
      <c r="Q417" s="105" t="s">
        <v>97</v>
      </c>
      <c r="R417" s="105" t="s">
        <v>82</v>
      </c>
      <c r="S417" s="105" t="s">
        <v>68</v>
      </c>
      <c r="T417" s="105" t="s">
        <v>86</v>
      </c>
      <c r="U417" s="105" t="s">
        <v>87</v>
      </c>
      <c r="V417" s="105" t="s">
        <v>244</v>
      </c>
      <c r="W417" s="105" t="s">
        <v>74</v>
      </c>
      <c r="X417" s="105" t="s">
        <v>233</v>
      </c>
      <c r="Y417" s="105" t="s">
        <v>110</v>
      </c>
      <c r="Z417" s="105" t="s">
        <v>207</v>
      </c>
      <c r="AA417" s="105" t="s">
        <v>425</v>
      </c>
    </row>
    <row r="418" spans="2:27" x14ac:dyDescent="0.2">
      <c r="C418" s="105" t="s">
        <v>773</v>
      </c>
      <c r="D418" s="105">
        <v>36.550623157894726</v>
      </c>
      <c r="E418" s="105">
        <v>1142.7321263157892</v>
      </c>
    </row>
    <row r="419" spans="2:27" x14ac:dyDescent="0.2">
      <c r="C419" s="105" t="s">
        <v>774</v>
      </c>
      <c r="D419" s="105">
        <v>12.985600625990545</v>
      </c>
      <c r="E419" s="105">
        <v>405.88682170542637</v>
      </c>
    </row>
    <row r="420" spans="2:27" x14ac:dyDescent="0.2">
      <c r="C420" s="105" t="s">
        <v>775</v>
      </c>
      <c r="D420" s="105">
        <v>13.923421727972626</v>
      </c>
      <c r="E420" s="105">
        <v>435.2</v>
      </c>
    </row>
    <row r="421" spans="2:27" x14ac:dyDescent="0.2">
      <c r="C421" s="105" t="s">
        <v>776</v>
      </c>
      <c r="D421" s="105">
        <v>34.799999999999997</v>
      </c>
      <c r="E421" s="105" t="s">
        <v>273</v>
      </c>
      <c r="F421" s="105" t="s">
        <v>274</v>
      </c>
      <c r="G421" s="105" t="s">
        <v>265</v>
      </c>
      <c r="H421" s="105" t="s">
        <v>275</v>
      </c>
      <c r="I421" s="105" t="s">
        <v>276</v>
      </c>
      <c r="J421" s="105" t="s">
        <v>277</v>
      </c>
      <c r="K421" s="105" t="s">
        <v>95</v>
      </c>
      <c r="L421" s="105" t="s">
        <v>251</v>
      </c>
      <c r="M421" s="105" t="s">
        <v>97</v>
      </c>
      <c r="N421" s="105" t="s">
        <v>82</v>
      </c>
      <c r="O421" s="105" t="s">
        <v>81</v>
      </c>
      <c r="P421" s="105" t="s">
        <v>68</v>
      </c>
      <c r="Q421" s="105" t="s">
        <v>86</v>
      </c>
      <c r="R421" s="105" t="s">
        <v>242</v>
      </c>
      <c r="S421" s="105" t="s">
        <v>244</v>
      </c>
      <c r="T421" s="105" t="s">
        <v>70</v>
      </c>
      <c r="U421" s="105" t="s">
        <v>255</v>
      </c>
      <c r="V421" s="105" t="s">
        <v>74</v>
      </c>
      <c r="W421" s="105" t="s">
        <v>107</v>
      </c>
      <c r="X421" s="105" t="s">
        <v>114</v>
      </c>
      <c r="Y421" s="105" t="s">
        <v>278</v>
      </c>
      <c r="Z421" s="105" t="s">
        <v>279</v>
      </c>
      <c r="AA421" s="105" t="s">
        <v>280</v>
      </c>
    </row>
    <row r="423" spans="2:27" x14ac:dyDescent="0.2">
      <c r="D423" s="105" t="s">
        <v>780</v>
      </c>
      <c r="E423" s="105" t="s">
        <v>48</v>
      </c>
      <c r="F423" s="105" t="s">
        <v>49</v>
      </c>
      <c r="G423" s="105" t="s">
        <v>50</v>
      </c>
      <c r="H423" s="105" t="s">
        <v>51</v>
      </c>
      <c r="I423" s="105" t="s">
        <v>52</v>
      </c>
      <c r="J423" s="105" t="s">
        <v>53</v>
      </c>
      <c r="K423" s="105">
        <v>0.01</v>
      </c>
      <c r="L423" s="105">
        <v>0.05</v>
      </c>
      <c r="M423" s="105">
        <v>0.1</v>
      </c>
      <c r="N423" s="105">
        <v>0.2</v>
      </c>
      <c r="O423" s="105">
        <v>0.3</v>
      </c>
      <c r="P423" s="105">
        <v>0.4</v>
      </c>
      <c r="Q423" s="105">
        <v>0.5</v>
      </c>
      <c r="R423" s="105">
        <v>0.6</v>
      </c>
      <c r="S423" s="105">
        <v>0.7</v>
      </c>
      <c r="T423" s="105">
        <v>0.8</v>
      </c>
      <c r="U423" s="105">
        <v>0.9</v>
      </c>
      <c r="V423" s="105">
        <v>0.95</v>
      </c>
      <c r="W423" s="105">
        <v>0.99</v>
      </c>
      <c r="X423" s="105">
        <v>0.995</v>
      </c>
      <c r="Y423" s="105">
        <v>0.999</v>
      </c>
      <c r="Z423" s="105">
        <v>0.99950000000000006</v>
      </c>
      <c r="AA423" s="105">
        <v>0.99990000000000001</v>
      </c>
    </row>
    <row r="424" spans="2:27" x14ac:dyDescent="0.2">
      <c r="B424" s="105" t="s">
        <v>783</v>
      </c>
      <c r="C424" s="105" t="s">
        <v>772</v>
      </c>
      <c r="D424" s="105">
        <v>39.9</v>
      </c>
      <c r="E424" s="105" t="s">
        <v>602</v>
      </c>
      <c r="F424" s="105" t="s">
        <v>603</v>
      </c>
      <c r="G424" s="105" t="s">
        <v>265</v>
      </c>
      <c r="H424" s="105" t="s">
        <v>604</v>
      </c>
      <c r="I424" s="105" t="s">
        <v>605</v>
      </c>
      <c r="J424" s="105" t="s">
        <v>606</v>
      </c>
      <c r="K424" s="105" t="s">
        <v>251</v>
      </c>
      <c r="L424" s="105" t="s">
        <v>98</v>
      </c>
      <c r="M424" s="105" t="s">
        <v>241</v>
      </c>
      <c r="N424" s="105" t="s">
        <v>68</v>
      </c>
      <c r="O424" s="105" t="s">
        <v>87</v>
      </c>
      <c r="P424" s="105" t="s">
        <v>89</v>
      </c>
      <c r="Q424" s="105" t="s">
        <v>244</v>
      </c>
      <c r="R424" s="105" t="s">
        <v>456</v>
      </c>
      <c r="S424" s="105" t="s">
        <v>72</v>
      </c>
      <c r="T424" s="105" t="s">
        <v>73</v>
      </c>
      <c r="U424" s="105" t="s">
        <v>177</v>
      </c>
      <c r="V424" s="105" t="s">
        <v>76</v>
      </c>
      <c r="W424" s="105" t="s">
        <v>194</v>
      </c>
      <c r="X424" s="105" t="s">
        <v>147</v>
      </c>
      <c r="Y424" s="105" t="s">
        <v>124</v>
      </c>
      <c r="Z424" s="105" t="s">
        <v>237</v>
      </c>
      <c r="AA424" s="105" t="s">
        <v>498</v>
      </c>
    </row>
    <row r="425" spans="2:27" x14ac:dyDescent="0.2">
      <c r="C425" s="105" t="s">
        <v>773</v>
      </c>
      <c r="D425" s="105">
        <v>39.071355789473678</v>
      </c>
      <c r="E425" s="105">
        <v>1222.5553263157892</v>
      </c>
    </row>
    <row r="426" spans="2:27" x14ac:dyDescent="0.2">
      <c r="C426" s="105" t="s">
        <v>774</v>
      </c>
      <c r="D426" s="105">
        <v>19.31658753100464</v>
      </c>
      <c r="E426" s="105">
        <v>603.70387596899218</v>
      </c>
    </row>
    <row r="427" spans="2:27" x14ac:dyDescent="0.2">
      <c r="C427" s="105" t="s">
        <v>775</v>
      </c>
      <c r="D427" s="105">
        <v>14.897706495589413</v>
      </c>
      <c r="E427" s="105">
        <v>465.6</v>
      </c>
    </row>
    <row r="428" spans="2:27" x14ac:dyDescent="0.2">
      <c r="C428" s="105" t="s">
        <v>776</v>
      </c>
      <c r="D428" s="105">
        <v>37.200000000000003</v>
      </c>
      <c r="E428" s="105" t="s">
        <v>281</v>
      </c>
      <c r="F428" s="105" t="s">
        <v>282</v>
      </c>
      <c r="G428" s="105" t="s">
        <v>283</v>
      </c>
      <c r="H428" s="105" t="s">
        <v>284</v>
      </c>
      <c r="I428" s="105" t="s">
        <v>285</v>
      </c>
      <c r="J428" s="105" t="s">
        <v>286</v>
      </c>
      <c r="K428" s="105" t="s">
        <v>265</v>
      </c>
      <c r="L428" s="105" t="s">
        <v>251</v>
      </c>
      <c r="M428" s="105" t="s">
        <v>96</v>
      </c>
      <c r="N428" s="105" t="s">
        <v>98</v>
      </c>
      <c r="O428" s="105" t="s">
        <v>81</v>
      </c>
      <c r="P428" s="105" t="s">
        <v>68</v>
      </c>
      <c r="Q428" s="105" t="s">
        <v>86</v>
      </c>
      <c r="R428" s="105" t="s">
        <v>87</v>
      </c>
      <c r="S428" s="105" t="s">
        <v>243</v>
      </c>
      <c r="T428" s="105" t="s">
        <v>254</v>
      </c>
      <c r="U428" s="105" t="s">
        <v>72</v>
      </c>
      <c r="V428" s="105" t="s">
        <v>75</v>
      </c>
      <c r="W428" s="105" t="s">
        <v>117</v>
      </c>
      <c r="X428" s="105" t="s">
        <v>78</v>
      </c>
      <c r="Y428" s="105" t="s">
        <v>287</v>
      </c>
      <c r="Z428" s="105" t="s">
        <v>141</v>
      </c>
      <c r="AA428" s="105" t="s">
        <v>288</v>
      </c>
    </row>
    <row r="430" spans="2:27" x14ac:dyDescent="0.2">
      <c r="D430" s="105" t="s">
        <v>780</v>
      </c>
      <c r="E430" s="105" t="s">
        <v>48</v>
      </c>
      <c r="F430" s="105" t="s">
        <v>49</v>
      </c>
      <c r="G430" s="105" t="s">
        <v>50</v>
      </c>
      <c r="H430" s="105" t="s">
        <v>51</v>
      </c>
      <c r="I430" s="105" t="s">
        <v>52</v>
      </c>
      <c r="J430" s="105" t="s">
        <v>53</v>
      </c>
      <c r="K430" s="105">
        <v>0.01</v>
      </c>
      <c r="L430" s="105">
        <v>0.05</v>
      </c>
      <c r="M430" s="105">
        <v>0.1</v>
      </c>
      <c r="N430" s="105">
        <v>0.2</v>
      </c>
      <c r="O430" s="105">
        <v>0.3</v>
      </c>
      <c r="P430" s="105">
        <v>0.4</v>
      </c>
      <c r="Q430" s="105">
        <v>0.5</v>
      </c>
      <c r="R430" s="105">
        <v>0.6</v>
      </c>
      <c r="S430" s="105">
        <v>0.7</v>
      </c>
      <c r="T430" s="105">
        <v>0.8</v>
      </c>
      <c r="U430" s="105">
        <v>0.9</v>
      </c>
      <c r="V430" s="105">
        <v>0.95</v>
      </c>
      <c r="W430" s="105">
        <v>0.99</v>
      </c>
      <c r="X430" s="105">
        <v>0.995</v>
      </c>
      <c r="Y430" s="105">
        <v>0.999</v>
      </c>
      <c r="Z430" s="105">
        <v>0.99950000000000006</v>
      </c>
      <c r="AA430" s="105">
        <v>0.99990000000000001</v>
      </c>
    </row>
    <row r="431" spans="2:27" x14ac:dyDescent="0.2">
      <c r="B431" s="105" t="s">
        <v>784</v>
      </c>
      <c r="C431" s="105" t="s">
        <v>772</v>
      </c>
      <c r="D431" s="105">
        <v>45.3</v>
      </c>
      <c r="E431" s="105" t="s">
        <v>607</v>
      </c>
      <c r="F431" s="105" t="s">
        <v>608</v>
      </c>
      <c r="G431" s="105" t="s">
        <v>93</v>
      </c>
      <c r="H431" s="105" t="s">
        <v>609</v>
      </c>
      <c r="I431" s="105" t="s">
        <v>610</v>
      </c>
      <c r="K431" s="105" t="s">
        <v>251</v>
      </c>
      <c r="L431" s="105" t="s">
        <v>98</v>
      </c>
      <c r="M431" s="105" t="s">
        <v>241</v>
      </c>
      <c r="N431" s="105" t="s">
        <v>81</v>
      </c>
      <c r="O431" s="105" t="s">
        <v>68</v>
      </c>
      <c r="P431" s="105" t="s">
        <v>87</v>
      </c>
      <c r="Q431" s="105" t="s">
        <v>89</v>
      </c>
      <c r="R431" s="105" t="s">
        <v>242</v>
      </c>
      <c r="S431" s="105" t="s">
        <v>243</v>
      </c>
      <c r="T431" s="105" t="s">
        <v>244</v>
      </c>
      <c r="U431" s="105" t="s">
        <v>456</v>
      </c>
      <c r="V431" s="105" t="s">
        <v>73</v>
      </c>
      <c r="W431" s="105" t="s">
        <v>193</v>
      </c>
      <c r="X431" s="105" t="s">
        <v>110</v>
      </c>
      <c r="Y431" s="105" t="s">
        <v>148</v>
      </c>
      <c r="Z431" s="105" t="s">
        <v>217</v>
      </c>
      <c r="AA431" s="105" t="s">
        <v>409</v>
      </c>
    </row>
    <row r="432" spans="2:27" x14ac:dyDescent="0.2">
      <c r="C432" s="105" t="s">
        <v>773</v>
      </c>
      <c r="D432" s="105">
        <v>45.811864406779662</v>
      </c>
      <c r="E432" s="105">
        <v>1432</v>
      </c>
    </row>
    <row r="433" spans="2:27" x14ac:dyDescent="0.2">
      <c r="C433" s="105" t="s">
        <v>774</v>
      </c>
      <c r="D433" s="105">
        <v>22.786348377348574</v>
      </c>
      <c r="E433" s="105">
        <v>712.262015503876</v>
      </c>
    </row>
    <row r="434" spans="2:27" x14ac:dyDescent="0.2">
      <c r="C434" s="105" t="s">
        <v>775</v>
      </c>
      <c r="D434" s="105">
        <v>15.36</v>
      </c>
      <c r="E434" s="105">
        <v>480</v>
      </c>
    </row>
    <row r="435" spans="2:27" x14ac:dyDescent="0.2">
      <c r="C435" s="105" t="s">
        <v>776</v>
      </c>
      <c r="D435" s="105">
        <v>38.4</v>
      </c>
      <c r="E435" s="105" t="s">
        <v>289</v>
      </c>
      <c r="F435" s="105" t="s">
        <v>290</v>
      </c>
      <c r="G435" s="105" t="s">
        <v>257</v>
      </c>
      <c r="H435" s="105" t="s">
        <v>291</v>
      </c>
      <c r="I435" s="105" t="s">
        <v>292</v>
      </c>
      <c r="J435" s="105" t="s">
        <v>293</v>
      </c>
      <c r="K435" s="105" t="s">
        <v>268</v>
      </c>
      <c r="L435" s="105" t="s">
        <v>97</v>
      </c>
      <c r="M435" s="105" t="s">
        <v>98</v>
      </c>
      <c r="N435" s="105" t="s">
        <v>241</v>
      </c>
      <c r="O435" s="105" t="s">
        <v>81</v>
      </c>
      <c r="P435" s="105" t="s">
        <v>68</v>
      </c>
      <c r="Q435" s="105" t="s">
        <v>86</v>
      </c>
      <c r="R435" s="105" t="s">
        <v>88</v>
      </c>
      <c r="S435" s="105" t="s">
        <v>243</v>
      </c>
      <c r="T435" s="105" t="s">
        <v>244</v>
      </c>
      <c r="U435" s="105" t="s">
        <v>71</v>
      </c>
      <c r="V435" s="105" t="s">
        <v>255</v>
      </c>
      <c r="W435" s="105" t="s">
        <v>223</v>
      </c>
      <c r="X435" s="105" t="s">
        <v>109</v>
      </c>
      <c r="Y435" s="105" t="s">
        <v>151</v>
      </c>
      <c r="Z435" s="105" t="s">
        <v>294</v>
      </c>
      <c r="AA435" s="105" t="s">
        <v>295</v>
      </c>
    </row>
    <row r="438" spans="2:27" x14ac:dyDescent="0.2">
      <c r="D438" s="105" t="s">
        <v>780</v>
      </c>
      <c r="E438" s="105" t="s">
        <v>48</v>
      </c>
      <c r="F438" s="105" t="s">
        <v>49</v>
      </c>
      <c r="G438" s="105" t="s">
        <v>50</v>
      </c>
      <c r="H438" s="105" t="s">
        <v>51</v>
      </c>
      <c r="I438" s="105" t="s">
        <v>52</v>
      </c>
      <c r="J438" s="105" t="s">
        <v>53</v>
      </c>
      <c r="K438" s="105">
        <v>0.01</v>
      </c>
      <c r="L438" s="105">
        <v>0.05</v>
      </c>
      <c r="M438" s="105">
        <v>0.1</v>
      </c>
      <c r="N438" s="105">
        <v>0.2</v>
      </c>
      <c r="O438" s="105">
        <v>0.3</v>
      </c>
      <c r="P438" s="105">
        <v>0.4</v>
      </c>
      <c r="Q438" s="105">
        <v>0.5</v>
      </c>
      <c r="R438" s="105">
        <v>0.6</v>
      </c>
      <c r="S438" s="105">
        <v>0.7</v>
      </c>
      <c r="T438" s="105">
        <v>0.8</v>
      </c>
      <c r="U438" s="105">
        <v>0.9</v>
      </c>
      <c r="V438" s="105">
        <v>0.95</v>
      </c>
      <c r="W438" s="105">
        <v>0.99</v>
      </c>
      <c r="X438" s="105">
        <v>0.995</v>
      </c>
      <c r="Y438" s="105">
        <v>0.999</v>
      </c>
      <c r="Z438" s="105">
        <v>0.99950000000000006</v>
      </c>
      <c r="AA438" s="105">
        <v>0.99990000000000001</v>
      </c>
    </row>
    <row r="439" spans="2:27" x14ac:dyDescent="0.2">
      <c r="B439" s="105" t="s">
        <v>785</v>
      </c>
      <c r="C439" s="105" t="s">
        <v>772</v>
      </c>
      <c r="D439" s="105">
        <v>33.6</v>
      </c>
      <c r="E439" s="105" t="s">
        <v>611</v>
      </c>
      <c r="F439" s="105" t="s">
        <v>612</v>
      </c>
      <c r="G439" s="105" t="s">
        <v>94</v>
      </c>
      <c r="H439" s="105" t="s">
        <v>484</v>
      </c>
      <c r="I439" s="105" t="s">
        <v>613</v>
      </c>
      <c r="K439" s="105" t="s">
        <v>251</v>
      </c>
      <c r="L439" s="105" t="s">
        <v>97</v>
      </c>
      <c r="M439" s="105" t="s">
        <v>97</v>
      </c>
      <c r="N439" s="105" t="s">
        <v>97</v>
      </c>
      <c r="O439" s="105" t="s">
        <v>98</v>
      </c>
      <c r="P439" s="105" t="s">
        <v>82</v>
      </c>
      <c r="Q439" s="105" t="s">
        <v>241</v>
      </c>
      <c r="R439" s="105" t="s">
        <v>68</v>
      </c>
      <c r="S439" s="105" t="s">
        <v>88</v>
      </c>
      <c r="T439" s="105" t="s">
        <v>89</v>
      </c>
      <c r="U439" s="105" t="s">
        <v>242</v>
      </c>
      <c r="V439" s="105" t="s">
        <v>243</v>
      </c>
      <c r="W439" s="105" t="s">
        <v>75</v>
      </c>
      <c r="X439" s="105" t="s">
        <v>233</v>
      </c>
      <c r="Y439" s="105" t="s">
        <v>112</v>
      </c>
      <c r="Z439" s="105" t="s">
        <v>207</v>
      </c>
      <c r="AA439" s="105" t="s">
        <v>484</v>
      </c>
    </row>
    <row r="440" spans="2:27" x14ac:dyDescent="0.2">
      <c r="C440" s="105" t="s">
        <v>773</v>
      </c>
      <c r="D440" s="105">
        <v>37.619346240000006</v>
      </c>
      <c r="E440" s="105">
        <v>1174.4849466000001</v>
      </c>
      <c r="K440" s="105" t="s">
        <v>95</v>
      </c>
      <c r="L440" s="105" t="s">
        <v>251</v>
      </c>
      <c r="M440" s="105" t="s">
        <v>251</v>
      </c>
      <c r="N440" s="105" t="s">
        <v>96</v>
      </c>
      <c r="O440" s="105" t="s">
        <v>97</v>
      </c>
      <c r="P440" s="105" t="s">
        <v>98</v>
      </c>
      <c r="Q440" s="105" t="s">
        <v>98</v>
      </c>
      <c r="R440" s="105" t="s">
        <v>81</v>
      </c>
      <c r="S440" s="105" t="s">
        <v>86</v>
      </c>
      <c r="T440" s="105" t="s">
        <v>86</v>
      </c>
      <c r="U440" s="105" t="s">
        <v>87</v>
      </c>
      <c r="V440" s="105" t="s">
        <v>88</v>
      </c>
      <c r="W440" s="105" t="s">
        <v>72</v>
      </c>
      <c r="X440" s="105" t="s">
        <v>75</v>
      </c>
      <c r="Y440" s="105" t="s">
        <v>193</v>
      </c>
      <c r="Z440" s="105" t="s">
        <v>112</v>
      </c>
      <c r="AA440" s="105" t="s">
        <v>476</v>
      </c>
    </row>
    <row r="441" spans="2:27" x14ac:dyDescent="0.2">
      <c r="C441" s="105" t="s">
        <v>774</v>
      </c>
      <c r="D441" s="105">
        <v>5.922440419447093</v>
      </c>
      <c r="E441" s="105">
        <v>184.9</v>
      </c>
      <c r="K441" s="105">
        <v>204.41319632233584</v>
      </c>
      <c r="L441" s="105">
        <v>222.99621416982092</v>
      </c>
      <c r="M441" s="105">
        <v>222.99621416982092</v>
      </c>
      <c r="N441" s="105">
        <v>222.99621416982092</v>
      </c>
      <c r="O441" s="105">
        <v>232.28772309356341</v>
      </c>
      <c r="P441" s="105">
        <v>241.57923201730597</v>
      </c>
      <c r="Q441" s="105">
        <v>250.87074094104855</v>
      </c>
      <c r="R441" s="105">
        <v>269.45375878853361</v>
      </c>
      <c r="S441" s="105">
        <v>297.32828555976118</v>
      </c>
      <c r="T441" s="105">
        <v>365.43537047052462</v>
      </c>
      <c r="U441" s="105">
        <v>466.74418604651163</v>
      </c>
      <c r="V441" s="105">
        <v>658.50730124391566</v>
      </c>
      <c r="W441" s="105">
        <v>720.01622498647919</v>
      </c>
      <c r="X441" s="105">
        <v>741.72525689561928</v>
      </c>
      <c r="Y441" s="105">
        <v>929.8702001081665</v>
      </c>
      <c r="Z441" s="105">
        <v>2373.5208220659815</v>
      </c>
      <c r="AA441" s="105">
        <v>3261.3196322336307</v>
      </c>
    </row>
    <row r="442" spans="2:27" x14ac:dyDescent="0.2">
      <c r="C442" s="105" t="s">
        <v>775</v>
      </c>
      <c r="D442" s="105">
        <v>18.231999999999999</v>
      </c>
      <c r="E442" s="105">
        <v>570.28</v>
      </c>
      <c r="K442" s="105" t="s">
        <v>96</v>
      </c>
      <c r="L442" s="105" t="s">
        <v>81</v>
      </c>
      <c r="M442" s="105" t="s">
        <v>87</v>
      </c>
      <c r="N442" s="105" t="s">
        <v>252</v>
      </c>
      <c r="O442" s="105" t="s">
        <v>73</v>
      </c>
      <c r="P442" s="105" t="s">
        <v>342</v>
      </c>
      <c r="Q442" s="105" t="s">
        <v>131</v>
      </c>
      <c r="R442" s="105" t="s">
        <v>132</v>
      </c>
      <c r="S442" s="105" t="s">
        <v>327</v>
      </c>
      <c r="T442" s="105" t="s">
        <v>140</v>
      </c>
      <c r="U442" s="105" t="s">
        <v>232</v>
      </c>
      <c r="V442" s="105" t="s">
        <v>100</v>
      </c>
      <c r="W442" s="105" t="s">
        <v>403</v>
      </c>
      <c r="X442" s="105" t="s">
        <v>356</v>
      </c>
      <c r="Y442" s="105" t="s">
        <v>484</v>
      </c>
      <c r="Z442" s="105" t="s">
        <v>104</v>
      </c>
      <c r="AA442" s="105" t="s">
        <v>761</v>
      </c>
    </row>
    <row r="443" spans="2:27" x14ac:dyDescent="0.2">
      <c r="C443" s="105" t="s">
        <v>776</v>
      </c>
      <c r="D443" s="105">
        <v>34.4</v>
      </c>
      <c r="E443" s="105" t="s">
        <v>296</v>
      </c>
      <c r="F443" s="105" t="s">
        <v>297</v>
      </c>
      <c r="G443" s="105" t="s">
        <v>265</v>
      </c>
      <c r="H443" s="105" t="s">
        <v>298</v>
      </c>
      <c r="I443" s="105" t="s">
        <v>299</v>
      </c>
      <c r="J443" s="105" t="s">
        <v>300</v>
      </c>
      <c r="K443" s="105" t="s">
        <v>95</v>
      </c>
      <c r="L443" s="105" t="s">
        <v>251</v>
      </c>
      <c r="M443" s="105" t="s">
        <v>97</v>
      </c>
      <c r="N443" s="105" t="s">
        <v>98</v>
      </c>
      <c r="O443" s="105" t="s">
        <v>98</v>
      </c>
      <c r="P443" s="105" t="s">
        <v>82</v>
      </c>
      <c r="Q443" s="105" t="s">
        <v>241</v>
      </c>
      <c r="R443" s="105" t="s">
        <v>81</v>
      </c>
      <c r="S443" s="105" t="s">
        <v>68</v>
      </c>
      <c r="T443" s="105" t="s">
        <v>86</v>
      </c>
      <c r="U443" s="105" t="s">
        <v>242</v>
      </c>
      <c r="V443" s="105" t="s">
        <v>254</v>
      </c>
      <c r="W443" s="105" t="s">
        <v>301</v>
      </c>
      <c r="X443" s="105" t="s">
        <v>223</v>
      </c>
      <c r="Y443" s="105" t="s">
        <v>114</v>
      </c>
      <c r="Z443" s="105" t="s">
        <v>165</v>
      </c>
      <c r="AA443" s="105" t="s">
        <v>99</v>
      </c>
    </row>
    <row r="445" spans="2:27" x14ac:dyDescent="0.2">
      <c r="D445" s="105" t="s">
        <v>780</v>
      </c>
      <c r="E445" s="105" t="s">
        <v>48</v>
      </c>
      <c r="F445" s="105" t="s">
        <v>49</v>
      </c>
      <c r="G445" s="105" t="s">
        <v>50</v>
      </c>
      <c r="H445" s="105" t="s">
        <v>51</v>
      </c>
      <c r="I445" s="105" t="s">
        <v>52</v>
      </c>
      <c r="J445" s="105" t="s">
        <v>53</v>
      </c>
      <c r="K445" s="105">
        <v>0.01</v>
      </c>
      <c r="L445" s="105">
        <v>0.05</v>
      </c>
      <c r="M445" s="105">
        <v>0.1</v>
      </c>
      <c r="N445" s="105">
        <v>0.2</v>
      </c>
      <c r="O445" s="105">
        <v>0.3</v>
      </c>
      <c r="P445" s="105">
        <v>0.4</v>
      </c>
      <c r="Q445" s="105">
        <v>0.5</v>
      </c>
      <c r="R445" s="105">
        <v>0.6</v>
      </c>
      <c r="S445" s="105">
        <v>0.7</v>
      </c>
      <c r="T445" s="105">
        <v>0.8</v>
      </c>
      <c r="U445" s="105">
        <v>0.9</v>
      </c>
      <c r="V445" s="105">
        <v>0.95</v>
      </c>
      <c r="W445" s="105">
        <v>0.99</v>
      </c>
      <c r="X445" s="105">
        <v>0.995</v>
      </c>
      <c r="Y445" s="105">
        <v>0.999</v>
      </c>
      <c r="Z445" s="105">
        <v>0.99950000000000006</v>
      </c>
      <c r="AA445" s="105">
        <v>0.99990000000000001</v>
      </c>
    </row>
    <row r="446" spans="2:27" x14ac:dyDescent="0.2">
      <c r="B446" s="105" t="s">
        <v>786</v>
      </c>
      <c r="C446" s="105" t="s">
        <v>772</v>
      </c>
      <c r="D446" s="105">
        <v>50.4</v>
      </c>
      <c r="E446" s="105" t="s">
        <v>629</v>
      </c>
      <c r="F446" s="105" t="s">
        <v>630</v>
      </c>
      <c r="G446" s="105" t="s">
        <v>250</v>
      </c>
      <c r="H446" s="105" t="s">
        <v>631</v>
      </c>
      <c r="I446" s="105" t="s">
        <v>632</v>
      </c>
      <c r="J446" s="105" t="s">
        <v>633</v>
      </c>
      <c r="K446" s="105" t="s">
        <v>98</v>
      </c>
      <c r="L446" s="105" t="s">
        <v>68</v>
      </c>
      <c r="M446" s="105" t="s">
        <v>88</v>
      </c>
      <c r="N446" s="105" t="s">
        <v>252</v>
      </c>
      <c r="O446" s="105" t="s">
        <v>69</v>
      </c>
      <c r="P446" s="105" t="s">
        <v>456</v>
      </c>
      <c r="Q446" s="105" t="s">
        <v>73</v>
      </c>
      <c r="R446" s="105" t="s">
        <v>301</v>
      </c>
      <c r="S446" s="105" t="s">
        <v>233</v>
      </c>
      <c r="T446" s="105" t="s">
        <v>181</v>
      </c>
      <c r="U446" s="105" t="s">
        <v>114</v>
      </c>
      <c r="V446" s="105" t="s">
        <v>166</v>
      </c>
      <c r="W446" s="105" t="s">
        <v>342</v>
      </c>
      <c r="X446" s="105" t="s">
        <v>327</v>
      </c>
      <c r="Y446" s="105" t="s">
        <v>196</v>
      </c>
      <c r="Z446" s="105" t="s">
        <v>527</v>
      </c>
      <c r="AA446" s="105" t="s">
        <v>634</v>
      </c>
    </row>
    <row r="447" spans="2:27" x14ac:dyDescent="0.2">
      <c r="C447" s="105" t="s">
        <v>773</v>
      </c>
      <c r="D447" s="105">
        <v>52.257179161372299</v>
      </c>
      <c r="E447" s="105">
        <v>1632</v>
      </c>
    </row>
    <row r="448" spans="2:27" x14ac:dyDescent="0.2">
      <c r="C448" s="105" t="s">
        <v>774</v>
      </c>
      <c r="D448" s="105">
        <v>18.355589138548435</v>
      </c>
      <c r="E448" s="105">
        <v>573.24796238244517</v>
      </c>
    </row>
    <row r="449" spans="2:27" x14ac:dyDescent="0.2">
      <c r="C449" s="105" t="s">
        <v>775</v>
      </c>
      <c r="D449" s="105">
        <v>23.372999999999998</v>
      </c>
      <c r="E449" s="105">
        <v>730.33999999999992</v>
      </c>
    </row>
    <row r="450" spans="2:27" x14ac:dyDescent="0.2">
      <c r="C450" s="105" t="s">
        <v>776</v>
      </c>
      <c r="D450" s="105">
        <v>44.1</v>
      </c>
      <c r="E450" s="105" t="s">
        <v>302</v>
      </c>
      <c r="F450" s="105" t="s">
        <v>303</v>
      </c>
      <c r="G450" s="105" t="s">
        <v>257</v>
      </c>
      <c r="H450" s="105" t="s">
        <v>304</v>
      </c>
      <c r="I450" s="105" t="s">
        <v>305</v>
      </c>
      <c r="J450" s="105" t="s">
        <v>306</v>
      </c>
      <c r="K450" s="105" t="s">
        <v>95</v>
      </c>
      <c r="L450" s="105" t="s">
        <v>98</v>
      </c>
      <c r="M450" s="105" t="s">
        <v>241</v>
      </c>
      <c r="N450" s="105" t="s">
        <v>68</v>
      </c>
      <c r="O450" s="105" t="s">
        <v>87</v>
      </c>
      <c r="P450" s="105" t="s">
        <v>88</v>
      </c>
      <c r="Q450" s="105" t="s">
        <v>242</v>
      </c>
      <c r="R450" s="105" t="s">
        <v>243</v>
      </c>
      <c r="S450" s="105" t="s">
        <v>244</v>
      </c>
      <c r="T450" s="105" t="s">
        <v>69</v>
      </c>
      <c r="U450" s="105" t="s">
        <v>255</v>
      </c>
      <c r="V450" s="105" t="s">
        <v>307</v>
      </c>
      <c r="W450" s="105" t="s">
        <v>146</v>
      </c>
      <c r="X450" s="105" t="s">
        <v>168</v>
      </c>
      <c r="Y450" s="105" t="s">
        <v>239</v>
      </c>
      <c r="Z450" s="105" t="s">
        <v>278</v>
      </c>
      <c r="AA450" s="105" t="s">
        <v>308</v>
      </c>
    </row>
    <row r="452" spans="2:27" x14ac:dyDescent="0.2">
      <c r="D452" s="105" t="s">
        <v>780</v>
      </c>
      <c r="E452" s="105" t="s">
        <v>48</v>
      </c>
      <c r="F452" s="105" t="s">
        <v>49</v>
      </c>
      <c r="G452" s="105" t="s">
        <v>50</v>
      </c>
      <c r="H452" s="105" t="s">
        <v>51</v>
      </c>
      <c r="I452" s="105" t="s">
        <v>52</v>
      </c>
      <c r="J452" s="105" t="s">
        <v>53</v>
      </c>
      <c r="K452" s="105">
        <v>0.01</v>
      </c>
      <c r="L452" s="105">
        <v>0.05</v>
      </c>
      <c r="M452" s="105">
        <v>0.1</v>
      </c>
      <c r="N452" s="105">
        <v>0.2</v>
      </c>
      <c r="O452" s="105">
        <v>0.3</v>
      </c>
      <c r="P452" s="105">
        <v>0.4</v>
      </c>
      <c r="Q452" s="105">
        <v>0.5</v>
      </c>
      <c r="R452" s="105">
        <v>0.6</v>
      </c>
      <c r="S452" s="105">
        <v>0.7</v>
      </c>
      <c r="T452" s="105">
        <v>0.8</v>
      </c>
      <c r="U452" s="105">
        <v>0.9</v>
      </c>
      <c r="V452" s="105">
        <v>0.95</v>
      </c>
      <c r="W452" s="105">
        <v>0.99</v>
      </c>
      <c r="X452" s="105">
        <v>0.995</v>
      </c>
      <c r="Y452" s="105">
        <v>0.999</v>
      </c>
      <c r="Z452" s="105">
        <v>0.99950000000000006</v>
      </c>
      <c r="AA452" s="105">
        <v>0.99990000000000001</v>
      </c>
    </row>
    <row r="453" spans="2:27" x14ac:dyDescent="0.2">
      <c r="B453" s="105" t="s">
        <v>787</v>
      </c>
      <c r="C453" s="105" t="s">
        <v>772</v>
      </c>
      <c r="D453" s="105" t="s">
        <v>223</v>
      </c>
      <c r="E453" s="105" t="s">
        <v>614</v>
      </c>
      <c r="F453" s="105" t="s">
        <v>615</v>
      </c>
      <c r="G453" s="105" t="s">
        <v>93</v>
      </c>
      <c r="H453" s="105" t="s">
        <v>616</v>
      </c>
      <c r="I453" s="105" t="s">
        <v>617</v>
      </c>
      <c r="J453" s="105" t="s">
        <v>618</v>
      </c>
      <c r="K453" s="105" t="s">
        <v>86</v>
      </c>
      <c r="L453" s="105" t="s">
        <v>69</v>
      </c>
      <c r="M453" s="105" t="s">
        <v>255</v>
      </c>
      <c r="N453" s="105" t="s">
        <v>307</v>
      </c>
      <c r="O453" s="105" t="s">
        <v>76</v>
      </c>
      <c r="P453" s="105" t="s">
        <v>109</v>
      </c>
      <c r="Q453" s="105" t="s">
        <v>145</v>
      </c>
      <c r="R453" s="105" t="s">
        <v>148</v>
      </c>
      <c r="S453" s="105" t="s">
        <v>218</v>
      </c>
      <c r="T453" s="105" t="s">
        <v>127</v>
      </c>
      <c r="U453" s="105" t="s">
        <v>153</v>
      </c>
      <c r="V453" s="105" t="s">
        <v>278</v>
      </c>
      <c r="W453" s="105" t="s">
        <v>417</v>
      </c>
      <c r="X453" s="105" t="s">
        <v>484</v>
      </c>
      <c r="Y453" s="105" t="s">
        <v>619</v>
      </c>
      <c r="Z453" s="105" t="s">
        <v>324</v>
      </c>
      <c r="AA453" s="105" t="s">
        <v>620</v>
      </c>
    </row>
    <row r="454" spans="2:27" x14ac:dyDescent="0.2">
      <c r="C454" s="105" t="s">
        <v>773</v>
      </c>
      <c r="D454" s="105">
        <v>56.448256146369353</v>
      </c>
      <c r="E454" s="105">
        <v>1763</v>
      </c>
    </row>
    <row r="455" spans="2:27" x14ac:dyDescent="0.2">
      <c r="C455" s="105" t="s">
        <v>774</v>
      </c>
      <c r="D455" s="105">
        <v>24.311723134222692</v>
      </c>
      <c r="E455" s="105">
        <v>759.30721003134806</v>
      </c>
    </row>
    <row r="456" spans="2:27" x14ac:dyDescent="0.2">
      <c r="C456" s="105" t="s">
        <v>775</v>
      </c>
      <c r="D456" s="105">
        <v>25.121999999999996</v>
      </c>
      <c r="E456" s="105">
        <v>785.45999999999992</v>
      </c>
    </row>
    <row r="457" spans="2:27" x14ac:dyDescent="0.2">
      <c r="C457" s="105" t="s">
        <v>776</v>
      </c>
      <c r="D457" s="105">
        <v>47.4</v>
      </c>
      <c r="E457" s="105" t="s">
        <v>309</v>
      </c>
      <c r="F457" s="105" t="s">
        <v>310</v>
      </c>
      <c r="G457" s="105" t="s">
        <v>257</v>
      </c>
      <c r="H457" s="105" t="s">
        <v>311</v>
      </c>
      <c r="I457" s="105" t="s">
        <v>312</v>
      </c>
      <c r="J457" s="105" t="s">
        <v>313</v>
      </c>
      <c r="K457" s="105" t="s">
        <v>96</v>
      </c>
      <c r="L457" s="105" t="s">
        <v>81</v>
      </c>
      <c r="M457" s="105" t="s">
        <v>86</v>
      </c>
      <c r="N457" s="105" t="s">
        <v>242</v>
      </c>
      <c r="O457" s="105" t="s">
        <v>254</v>
      </c>
      <c r="P457" s="105" t="s">
        <v>70</v>
      </c>
      <c r="Q457" s="105" t="s">
        <v>72</v>
      </c>
      <c r="R457" s="105" t="s">
        <v>75</v>
      </c>
      <c r="S457" s="105" t="s">
        <v>177</v>
      </c>
      <c r="T457" s="105" t="s">
        <v>181</v>
      </c>
      <c r="U457" s="105" t="s">
        <v>147</v>
      </c>
      <c r="V457" s="105" t="s">
        <v>258</v>
      </c>
      <c r="W457" s="105" t="s">
        <v>208</v>
      </c>
      <c r="X457" s="105" t="s">
        <v>264</v>
      </c>
      <c r="Y457" s="105" t="s">
        <v>90</v>
      </c>
      <c r="Z457" s="105" t="s">
        <v>314</v>
      </c>
      <c r="AA457" s="105" t="s">
        <v>315</v>
      </c>
    </row>
    <row r="459" spans="2:27" x14ac:dyDescent="0.2">
      <c r="D459" s="105" t="s">
        <v>47</v>
      </c>
      <c r="E459" s="105" t="s">
        <v>48</v>
      </c>
      <c r="F459" s="105" t="s">
        <v>49</v>
      </c>
      <c r="G459" s="105" t="s">
        <v>50</v>
      </c>
      <c r="H459" s="105" t="s">
        <v>51</v>
      </c>
      <c r="I459" s="105" t="s">
        <v>52</v>
      </c>
      <c r="J459" s="105" t="s">
        <v>53</v>
      </c>
      <c r="K459" s="105">
        <v>0.01</v>
      </c>
      <c r="L459" s="105">
        <v>0.05</v>
      </c>
      <c r="M459" s="105">
        <v>0.1</v>
      </c>
      <c r="N459" s="105">
        <v>0.2</v>
      </c>
      <c r="O459" s="105">
        <v>0.3</v>
      </c>
      <c r="P459" s="105">
        <v>0.4</v>
      </c>
      <c r="Q459" s="105">
        <v>0.5</v>
      </c>
      <c r="R459" s="105">
        <v>0.6</v>
      </c>
      <c r="S459" s="105">
        <v>0.7</v>
      </c>
      <c r="T459" s="105">
        <v>0.8</v>
      </c>
      <c r="U459" s="105">
        <v>0.9</v>
      </c>
      <c r="V459" s="105">
        <v>0.95</v>
      </c>
      <c r="W459" s="105">
        <v>0.99</v>
      </c>
      <c r="X459" s="105">
        <v>0.995</v>
      </c>
      <c r="Y459" s="105">
        <v>0.999</v>
      </c>
      <c r="Z459" s="105">
        <v>0.99950000000000006</v>
      </c>
      <c r="AA459" s="105">
        <v>0.99990000000000001</v>
      </c>
    </row>
    <row r="460" spans="2:27" x14ac:dyDescent="0.2">
      <c r="B460" s="105" t="s">
        <v>809</v>
      </c>
      <c r="C460" s="105" t="s">
        <v>772</v>
      </c>
      <c r="D460" s="105">
        <v>64.3</v>
      </c>
      <c r="E460" s="105" t="s">
        <v>621</v>
      </c>
      <c r="F460" s="105" t="s">
        <v>622</v>
      </c>
      <c r="G460" s="105" t="s">
        <v>452</v>
      </c>
      <c r="H460" s="105" t="s">
        <v>623</v>
      </c>
      <c r="I460" s="105" t="s">
        <v>624</v>
      </c>
      <c r="J460" s="105" t="s">
        <v>625</v>
      </c>
      <c r="K460" s="105" t="s">
        <v>242</v>
      </c>
      <c r="L460" s="105" t="s">
        <v>255</v>
      </c>
      <c r="M460" s="105" t="s">
        <v>378</v>
      </c>
      <c r="N460" s="105" t="s">
        <v>76</v>
      </c>
      <c r="O460" s="105" t="s">
        <v>111</v>
      </c>
      <c r="P460" s="105" t="s">
        <v>114</v>
      </c>
      <c r="Q460" s="105" t="s">
        <v>165</v>
      </c>
      <c r="R460" s="105" t="s">
        <v>218</v>
      </c>
      <c r="S460" s="105" t="s">
        <v>182</v>
      </c>
      <c r="T460" s="105" t="s">
        <v>238</v>
      </c>
      <c r="U460" s="105" t="s">
        <v>135</v>
      </c>
      <c r="V460" s="105" t="s">
        <v>352</v>
      </c>
      <c r="W460" s="105" t="s">
        <v>280</v>
      </c>
      <c r="X460" s="105" t="s">
        <v>626</v>
      </c>
      <c r="Y460" s="105" t="s">
        <v>371</v>
      </c>
      <c r="Z460" s="105" t="s">
        <v>627</v>
      </c>
      <c r="AA460" s="105" t="s">
        <v>628</v>
      </c>
    </row>
    <row r="461" spans="2:27" x14ac:dyDescent="0.2">
      <c r="C461" s="105" t="s">
        <v>773</v>
      </c>
      <c r="D461" s="105">
        <v>64.908416334661354</v>
      </c>
      <c r="E461" s="105">
        <v>2027</v>
      </c>
    </row>
    <row r="462" spans="2:27" x14ac:dyDescent="0.2">
      <c r="C462" s="105" t="s">
        <v>774</v>
      </c>
      <c r="D462" s="105">
        <v>25.465230051580509</v>
      </c>
      <c r="E462" s="105">
        <v>795.24388714733539</v>
      </c>
    </row>
    <row r="463" spans="2:27" x14ac:dyDescent="0.2">
      <c r="C463" s="105" t="s">
        <v>775</v>
      </c>
      <c r="D463" s="105">
        <v>28.09</v>
      </c>
      <c r="E463" s="105">
        <v>878.20999999999992</v>
      </c>
    </row>
    <row r="464" spans="2:27" x14ac:dyDescent="0.2">
      <c r="C464" s="105" t="s">
        <v>776</v>
      </c>
      <c r="D464" s="105">
        <v>53</v>
      </c>
      <c r="E464" s="105" t="s">
        <v>316</v>
      </c>
      <c r="F464" s="105" t="s">
        <v>317</v>
      </c>
      <c r="G464" s="105" t="s">
        <v>257</v>
      </c>
      <c r="H464" s="105" t="s">
        <v>318</v>
      </c>
      <c r="I464" s="105" t="s">
        <v>319</v>
      </c>
      <c r="J464" s="105" t="s">
        <v>320</v>
      </c>
      <c r="K464" s="105" t="s">
        <v>97</v>
      </c>
      <c r="L464" s="105" t="s">
        <v>81</v>
      </c>
      <c r="M464" s="105" t="s">
        <v>87</v>
      </c>
      <c r="N464" s="105" t="s">
        <v>243</v>
      </c>
      <c r="O464" s="105" t="s">
        <v>254</v>
      </c>
      <c r="P464" s="105" t="s">
        <v>71</v>
      </c>
      <c r="Q464" s="105" t="s">
        <v>72</v>
      </c>
      <c r="R464" s="105" t="s">
        <v>74</v>
      </c>
      <c r="S464" s="105" t="s">
        <v>307</v>
      </c>
      <c r="T464" s="105" t="s">
        <v>223</v>
      </c>
      <c r="U464" s="105" t="s">
        <v>112</v>
      </c>
      <c r="V464" s="105" t="s">
        <v>115</v>
      </c>
      <c r="W464" s="105" t="s">
        <v>182</v>
      </c>
      <c r="X464" s="105" t="s">
        <v>321</v>
      </c>
      <c r="Y464" s="105" t="s">
        <v>322</v>
      </c>
      <c r="Z464" s="105" t="s">
        <v>323</v>
      </c>
      <c r="AA464" s="105" t="s">
        <v>324</v>
      </c>
    </row>
    <row r="473" spans="1:27" x14ac:dyDescent="0.2">
      <c r="A473" s="105" t="s">
        <v>810</v>
      </c>
    </row>
    <row r="474" spans="1:27" x14ac:dyDescent="0.2">
      <c r="D474" s="105" t="s">
        <v>47</v>
      </c>
      <c r="E474" s="105" t="s">
        <v>48</v>
      </c>
      <c r="F474" s="105" t="s">
        <v>49</v>
      </c>
      <c r="G474" s="105" t="s">
        <v>50</v>
      </c>
      <c r="H474" s="105" t="s">
        <v>51</v>
      </c>
      <c r="I474" s="105" t="s">
        <v>52</v>
      </c>
      <c r="J474" s="105" t="s">
        <v>53</v>
      </c>
      <c r="K474" s="105">
        <v>0.01</v>
      </c>
      <c r="L474" s="105">
        <v>0.05</v>
      </c>
      <c r="M474" s="105">
        <v>0.1</v>
      </c>
      <c r="N474" s="105">
        <v>0.2</v>
      </c>
      <c r="O474" s="105">
        <v>0.3</v>
      </c>
      <c r="P474" s="105">
        <v>0.4</v>
      </c>
      <c r="Q474" s="105">
        <v>0.5</v>
      </c>
      <c r="R474" s="105">
        <v>0.6</v>
      </c>
      <c r="S474" s="105">
        <v>0.7</v>
      </c>
      <c r="T474" s="105">
        <v>0.8</v>
      </c>
      <c r="U474" s="105">
        <v>0.9</v>
      </c>
      <c r="V474" s="105">
        <v>0.95</v>
      </c>
      <c r="W474" s="105">
        <v>0.99</v>
      </c>
      <c r="X474" s="105">
        <v>0.995</v>
      </c>
      <c r="Y474" s="105">
        <v>0.999</v>
      </c>
      <c r="Z474" s="105">
        <v>0.99950000000000006</v>
      </c>
      <c r="AA474" s="105">
        <v>0.99990000000000001</v>
      </c>
    </row>
    <row r="475" spans="1:27" x14ac:dyDescent="0.2">
      <c r="B475" s="105" t="s">
        <v>771</v>
      </c>
      <c r="C475" s="105" t="s">
        <v>772</v>
      </c>
      <c r="D475" s="105" t="s">
        <v>118</v>
      </c>
      <c r="E475" s="105" t="s">
        <v>119</v>
      </c>
      <c r="F475" s="105" t="s">
        <v>120</v>
      </c>
      <c r="G475" s="105" t="s">
        <v>68</v>
      </c>
      <c r="H475" s="105" t="s">
        <v>121</v>
      </c>
      <c r="I475" s="105" t="s">
        <v>122</v>
      </c>
      <c r="J475" s="105" t="s">
        <v>123</v>
      </c>
      <c r="K475" s="105" t="s">
        <v>124</v>
      </c>
      <c r="L475" s="105" t="s">
        <v>125</v>
      </c>
      <c r="M475" s="105" t="s">
        <v>126</v>
      </c>
      <c r="N475" s="105" t="s">
        <v>127</v>
      </c>
      <c r="O475" s="105" t="s">
        <v>128</v>
      </c>
      <c r="P475" s="105" t="s">
        <v>129</v>
      </c>
      <c r="Q475" s="105" t="s">
        <v>130</v>
      </c>
      <c r="R475" s="105" t="s">
        <v>131</v>
      </c>
      <c r="S475" s="105" t="s">
        <v>132</v>
      </c>
      <c r="T475" s="105" t="s">
        <v>133</v>
      </c>
      <c r="U475" s="105" t="s">
        <v>134</v>
      </c>
      <c r="V475" s="105" t="s">
        <v>135</v>
      </c>
      <c r="W475" s="105" t="s">
        <v>90</v>
      </c>
      <c r="X475" s="105" t="s">
        <v>136</v>
      </c>
      <c r="Y475" s="105" t="s">
        <v>137</v>
      </c>
      <c r="Z475" s="105" t="s">
        <v>137</v>
      </c>
      <c r="AA475" s="105" t="s">
        <v>138</v>
      </c>
    </row>
    <row r="476" spans="1:27" x14ac:dyDescent="0.2">
      <c r="A476" s="105" t="s">
        <v>770</v>
      </c>
      <c r="C476" s="105" t="s">
        <v>773</v>
      </c>
      <c r="D476" s="105">
        <v>3517.09</v>
      </c>
      <c r="E476" s="105">
        <v>125</v>
      </c>
      <c r="K476" s="105">
        <v>65</v>
      </c>
      <c r="L476" s="105">
        <v>69</v>
      </c>
      <c r="M476" s="105">
        <v>69</v>
      </c>
      <c r="N476" s="105">
        <v>70</v>
      </c>
      <c r="O476" s="105">
        <v>71</v>
      </c>
      <c r="P476" s="105">
        <v>71</v>
      </c>
      <c r="Q476" s="105">
        <v>72</v>
      </c>
      <c r="R476" s="105">
        <v>73</v>
      </c>
      <c r="S476" s="105">
        <v>74</v>
      </c>
      <c r="T476" s="105">
        <v>75</v>
      </c>
      <c r="U476" s="105">
        <v>80</v>
      </c>
      <c r="V476" s="105">
        <v>85</v>
      </c>
      <c r="W476" s="105">
        <v>109</v>
      </c>
      <c r="X476" s="105" t="s">
        <v>79</v>
      </c>
      <c r="Y476" s="105" t="s">
        <v>154</v>
      </c>
      <c r="Z476" s="105" t="s">
        <v>154</v>
      </c>
      <c r="AA476" s="105" t="s">
        <v>154</v>
      </c>
    </row>
    <row r="477" spans="1:27" x14ac:dyDescent="0.2">
      <c r="C477" s="105" t="s">
        <v>774</v>
      </c>
      <c r="D477" s="105">
        <v>441.81732283464567</v>
      </c>
      <c r="E477" s="105">
        <v>13.8</v>
      </c>
      <c r="K477" s="105">
        <v>689.91566521094455</v>
      </c>
      <c r="L477" s="105">
        <v>730.16474066922137</v>
      </c>
      <c r="M477" s="105">
        <v>768.13015652710328</v>
      </c>
      <c r="N477" s="105">
        <v>815.65930997605528</v>
      </c>
      <c r="O477" s="105">
        <v>852.43219794094591</v>
      </c>
      <c r="P477" s="105">
        <v>876.88233072433002</v>
      </c>
      <c r="Q477" s="105">
        <v>874.83006288625688</v>
      </c>
      <c r="R477" s="105">
        <v>895.35113885378701</v>
      </c>
      <c r="S477" s="105">
        <v>905.49092149507032</v>
      </c>
      <c r="T477" s="105">
        <v>912.35147693328918</v>
      </c>
      <c r="U477" s="105">
        <v>979.48372213316782</v>
      </c>
      <c r="V477" s="105">
        <v>1058.7782571818418</v>
      </c>
      <c r="W477" s="105">
        <v>1410.765709702401</v>
      </c>
      <c r="X477" s="105">
        <v>276076.43056016526</v>
      </c>
      <c r="Y477" s="105">
        <v>279033.12516133796</v>
      </c>
      <c r="Z477" s="105">
        <v>279033.12516133796</v>
      </c>
      <c r="AA477" s="105">
        <v>281984.18796327029</v>
      </c>
    </row>
    <row r="478" spans="1:27" x14ac:dyDescent="0.2">
      <c r="C478" s="105" t="s">
        <v>775</v>
      </c>
      <c r="D478" s="105" t="s">
        <v>139</v>
      </c>
      <c r="E478" s="105" t="s">
        <v>140</v>
      </c>
      <c r="F478" s="105" t="s">
        <v>141</v>
      </c>
      <c r="G478" s="105" t="s">
        <v>111</v>
      </c>
      <c r="H478" s="105" t="s">
        <v>142</v>
      </c>
      <c r="I478" s="105" t="s">
        <v>143</v>
      </c>
      <c r="J478" s="105" t="s">
        <v>144</v>
      </c>
      <c r="K478" s="105" t="s">
        <v>145</v>
      </c>
      <c r="L478" s="105" t="s">
        <v>146</v>
      </c>
      <c r="M478" s="105" t="s">
        <v>146</v>
      </c>
      <c r="N478" s="105" t="s">
        <v>147</v>
      </c>
      <c r="O478" s="105" t="s">
        <v>115</v>
      </c>
      <c r="P478" s="105" t="s">
        <v>115</v>
      </c>
      <c r="Q478" s="105" t="s">
        <v>148</v>
      </c>
      <c r="R478" s="105" t="s">
        <v>149</v>
      </c>
      <c r="S478" s="105" t="s">
        <v>149</v>
      </c>
      <c r="T478" s="105" t="s">
        <v>150</v>
      </c>
      <c r="U478" s="105" t="s">
        <v>151</v>
      </c>
      <c r="V478" s="105" t="s">
        <v>152</v>
      </c>
      <c r="W478" s="105" t="s">
        <v>153</v>
      </c>
      <c r="X478" s="105" t="s">
        <v>154</v>
      </c>
      <c r="Y478" s="105" t="s">
        <v>154</v>
      </c>
      <c r="Z478" s="105" t="s">
        <v>154</v>
      </c>
      <c r="AA478" s="105" t="s">
        <v>154</v>
      </c>
    </row>
    <row r="479" spans="1:27" x14ac:dyDescent="0.2">
      <c r="C479" s="105" t="s">
        <v>776</v>
      </c>
      <c r="D479" s="105" t="s">
        <v>139</v>
      </c>
      <c r="E479" s="105" t="s">
        <v>140</v>
      </c>
      <c r="F479" s="105" t="s">
        <v>141</v>
      </c>
      <c r="G479" s="105" t="s">
        <v>111</v>
      </c>
      <c r="H479" s="105" t="s">
        <v>142</v>
      </c>
      <c r="I479" s="105" t="s">
        <v>143</v>
      </c>
      <c r="J479" s="105" t="s">
        <v>144</v>
      </c>
      <c r="K479" s="105" t="s">
        <v>145</v>
      </c>
      <c r="L479" s="105" t="s">
        <v>146</v>
      </c>
      <c r="M479" s="105" t="s">
        <v>146</v>
      </c>
      <c r="N479" s="105" t="s">
        <v>147</v>
      </c>
      <c r="O479" s="105" t="s">
        <v>115</v>
      </c>
      <c r="P479" s="105" t="s">
        <v>115</v>
      </c>
      <c r="Q479" s="105" t="s">
        <v>148</v>
      </c>
      <c r="R479" s="105" t="s">
        <v>149</v>
      </c>
      <c r="S479" s="105" t="s">
        <v>149</v>
      </c>
      <c r="T479" s="105" t="s">
        <v>150</v>
      </c>
      <c r="U479" s="105" t="s">
        <v>151</v>
      </c>
      <c r="V479" s="105" t="s">
        <v>152</v>
      </c>
      <c r="W479" s="105" t="s">
        <v>153</v>
      </c>
      <c r="X479" s="105" t="s">
        <v>154</v>
      </c>
      <c r="Y479" s="105" t="s">
        <v>154</v>
      </c>
      <c r="Z479" s="105" t="s">
        <v>154</v>
      </c>
      <c r="AA479" s="105" t="s">
        <v>154</v>
      </c>
    </row>
    <row r="481" spans="2:27" x14ac:dyDescent="0.2">
      <c r="D481" s="105" t="s">
        <v>47</v>
      </c>
      <c r="E481" s="105" t="s">
        <v>48</v>
      </c>
      <c r="F481" s="105" t="s">
        <v>49</v>
      </c>
      <c r="G481" s="105" t="s">
        <v>50</v>
      </c>
      <c r="H481" s="105" t="s">
        <v>51</v>
      </c>
      <c r="I481" s="105" t="s">
        <v>52</v>
      </c>
      <c r="J481" s="105" t="s">
        <v>53</v>
      </c>
      <c r="K481" s="105">
        <v>0.01</v>
      </c>
      <c r="L481" s="105">
        <v>0.05</v>
      </c>
      <c r="M481" s="105">
        <v>0.1</v>
      </c>
      <c r="N481" s="105">
        <v>0.2</v>
      </c>
      <c r="O481" s="105">
        <v>0.3</v>
      </c>
      <c r="P481" s="105">
        <v>0.4</v>
      </c>
      <c r="Q481" s="105">
        <v>0.5</v>
      </c>
      <c r="R481" s="105">
        <v>0.6</v>
      </c>
      <c r="S481" s="105">
        <v>0.7</v>
      </c>
      <c r="T481" s="105">
        <v>0.8</v>
      </c>
      <c r="U481" s="105">
        <v>0.9</v>
      </c>
      <c r="V481" s="105">
        <v>0.95</v>
      </c>
      <c r="W481" s="105">
        <v>0.99</v>
      </c>
      <c r="X481" s="105">
        <v>0.995</v>
      </c>
      <c r="Y481" s="105">
        <v>0.999</v>
      </c>
      <c r="Z481" s="105">
        <v>0.99950000000000006</v>
      </c>
      <c r="AA481" s="105">
        <v>0.99990000000000001</v>
      </c>
    </row>
    <row r="482" spans="2:27" x14ac:dyDescent="0.2">
      <c r="B482" s="105" t="s">
        <v>777</v>
      </c>
      <c r="C482" s="105" t="s">
        <v>772</v>
      </c>
      <c r="D482" s="105" t="s">
        <v>590</v>
      </c>
      <c r="E482" s="105" t="s">
        <v>591</v>
      </c>
      <c r="F482" s="105" t="s">
        <v>592</v>
      </c>
      <c r="G482" s="105" t="s">
        <v>95</v>
      </c>
      <c r="H482" s="105" t="s">
        <v>593</v>
      </c>
      <c r="I482" s="105" t="s">
        <v>594</v>
      </c>
      <c r="J482" s="105" t="s">
        <v>595</v>
      </c>
      <c r="K482" s="105" t="s">
        <v>81</v>
      </c>
      <c r="L482" s="105" t="s">
        <v>68</v>
      </c>
      <c r="M482" s="105" t="s">
        <v>68</v>
      </c>
      <c r="N482" s="105" t="s">
        <v>68</v>
      </c>
      <c r="O482" s="105" t="s">
        <v>68</v>
      </c>
      <c r="P482" s="105" t="s">
        <v>244</v>
      </c>
      <c r="Q482" s="105" t="s">
        <v>233</v>
      </c>
      <c r="R482" s="105" t="s">
        <v>111</v>
      </c>
      <c r="S482" s="105" t="s">
        <v>125</v>
      </c>
      <c r="T482" s="105" t="s">
        <v>152</v>
      </c>
      <c r="U482" s="105" t="s">
        <v>342</v>
      </c>
      <c r="V482" s="105" t="s">
        <v>263</v>
      </c>
      <c r="W482" s="105" t="s">
        <v>322</v>
      </c>
      <c r="X482" s="105" t="s">
        <v>596</v>
      </c>
      <c r="Y482" s="105" t="s">
        <v>597</v>
      </c>
      <c r="Z482" s="105" t="s">
        <v>597</v>
      </c>
      <c r="AA482" s="105" t="s">
        <v>597</v>
      </c>
    </row>
    <row r="483" spans="2:27" x14ac:dyDescent="0.2">
      <c r="C483" s="105" t="s">
        <v>773</v>
      </c>
      <c r="D483" s="105">
        <v>5467.8292682926831</v>
      </c>
      <c r="E483" s="105">
        <v>171</v>
      </c>
    </row>
    <row r="484" spans="2:27" x14ac:dyDescent="0.2">
      <c r="C484" s="105" t="s">
        <v>774</v>
      </c>
      <c r="D484" s="105">
        <v>1030.8075949367089</v>
      </c>
      <c r="E484" s="105">
        <v>32.200000000000003</v>
      </c>
    </row>
    <row r="485" spans="2:27" x14ac:dyDescent="0.2">
      <c r="C485" s="105" t="s">
        <v>775</v>
      </c>
      <c r="D485" s="105" t="s">
        <v>159</v>
      </c>
      <c r="E485" s="105" t="s">
        <v>160</v>
      </c>
      <c r="F485" s="105" t="s">
        <v>161</v>
      </c>
      <c r="G485" s="105" t="s">
        <v>106</v>
      </c>
      <c r="H485" s="105" t="s">
        <v>162</v>
      </c>
      <c r="I485" s="105" t="s">
        <v>163</v>
      </c>
      <c r="J485" s="105" t="s">
        <v>164</v>
      </c>
      <c r="K485" s="105" t="s">
        <v>109</v>
      </c>
      <c r="L485" s="105" t="s">
        <v>113</v>
      </c>
      <c r="M485" s="105" t="s">
        <v>114</v>
      </c>
      <c r="N485" s="105" t="s">
        <v>115</v>
      </c>
      <c r="O485" s="105" t="s">
        <v>165</v>
      </c>
      <c r="P485" s="105" t="s">
        <v>166</v>
      </c>
      <c r="Q485" s="105" t="s">
        <v>167</v>
      </c>
      <c r="R485" s="105" t="s">
        <v>168</v>
      </c>
      <c r="S485" s="105" t="s">
        <v>116</v>
      </c>
      <c r="T485" s="105" t="s">
        <v>126</v>
      </c>
      <c r="U485" s="105" t="s">
        <v>169</v>
      </c>
      <c r="V485" s="105" t="s">
        <v>170</v>
      </c>
      <c r="W485" s="105" t="s">
        <v>171</v>
      </c>
      <c r="X485" s="105" t="s">
        <v>154</v>
      </c>
      <c r="Y485" s="105" t="s">
        <v>172</v>
      </c>
      <c r="Z485" s="105" t="s">
        <v>173</v>
      </c>
      <c r="AA485" s="105" t="s">
        <v>174</v>
      </c>
    </row>
    <row r="486" spans="2:27" x14ac:dyDescent="0.2">
      <c r="C486" s="105" t="s">
        <v>776</v>
      </c>
      <c r="D486" s="105" t="s">
        <v>159</v>
      </c>
      <c r="E486" s="105" t="s">
        <v>160</v>
      </c>
      <c r="F486" s="105" t="s">
        <v>161</v>
      </c>
      <c r="G486" s="105" t="s">
        <v>106</v>
      </c>
      <c r="H486" s="105" t="s">
        <v>162</v>
      </c>
      <c r="I486" s="105" t="s">
        <v>163</v>
      </c>
      <c r="J486" s="105" t="s">
        <v>164</v>
      </c>
      <c r="K486" s="105" t="s">
        <v>109</v>
      </c>
      <c r="L486" s="105" t="s">
        <v>113</v>
      </c>
      <c r="M486" s="105" t="s">
        <v>114</v>
      </c>
      <c r="N486" s="105" t="s">
        <v>115</v>
      </c>
      <c r="O486" s="105" t="s">
        <v>165</v>
      </c>
      <c r="P486" s="105" t="s">
        <v>166</v>
      </c>
      <c r="Q486" s="105" t="s">
        <v>167</v>
      </c>
      <c r="R486" s="105" t="s">
        <v>168</v>
      </c>
      <c r="S486" s="105" t="s">
        <v>116</v>
      </c>
      <c r="T486" s="105" t="s">
        <v>126</v>
      </c>
      <c r="U486" s="105" t="s">
        <v>169</v>
      </c>
      <c r="V486" s="105" t="s">
        <v>170</v>
      </c>
      <c r="W486" s="105" t="s">
        <v>171</v>
      </c>
      <c r="X486" s="105" t="s">
        <v>154</v>
      </c>
      <c r="Y486" s="105" t="s">
        <v>172</v>
      </c>
      <c r="Z486" s="105" t="s">
        <v>173</v>
      </c>
      <c r="AA486" s="105" t="s">
        <v>174</v>
      </c>
    </row>
    <row r="488" spans="2:27" x14ac:dyDescent="0.2">
      <c r="D488" s="105" t="s">
        <v>47</v>
      </c>
      <c r="E488" s="105" t="s">
        <v>48</v>
      </c>
      <c r="F488" s="105" t="s">
        <v>49</v>
      </c>
      <c r="G488" s="105" t="s">
        <v>50</v>
      </c>
      <c r="H488" s="105" t="s">
        <v>51</v>
      </c>
      <c r="I488" s="105" t="s">
        <v>52</v>
      </c>
      <c r="J488" s="105" t="s">
        <v>53</v>
      </c>
      <c r="K488" s="105">
        <v>0.01</v>
      </c>
      <c r="L488" s="105">
        <v>0.05</v>
      </c>
      <c r="M488" s="105">
        <v>0.1</v>
      </c>
      <c r="N488" s="105">
        <v>0.2</v>
      </c>
      <c r="O488" s="105">
        <v>0.3</v>
      </c>
      <c r="P488" s="105">
        <v>0.4</v>
      </c>
      <c r="Q488" s="105">
        <v>0.5</v>
      </c>
      <c r="R488" s="105">
        <v>0.6</v>
      </c>
      <c r="S488" s="105">
        <v>0.7</v>
      </c>
      <c r="T488" s="105">
        <v>0.8</v>
      </c>
      <c r="U488" s="105">
        <v>0.9</v>
      </c>
      <c r="V488" s="105">
        <v>0.95</v>
      </c>
      <c r="W488" s="105">
        <v>0.99</v>
      </c>
      <c r="X488" s="105">
        <v>0.995</v>
      </c>
      <c r="Y488" s="105">
        <v>0.999</v>
      </c>
      <c r="Z488" s="105">
        <v>0.99950000000000006</v>
      </c>
      <c r="AA488" s="105">
        <v>0.99990000000000001</v>
      </c>
    </row>
    <row r="489" spans="2:27" x14ac:dyDescent="0.2">
      <c r="B489" s="105" t="s">
        <v>778</v>
      </c>
      <c r="C489" s="105" t="s">
        <v>772</v>
      </c>
      <c r="D489" s="105">
        <v>2688</v>
      </c>
      <c r="E489" s="105">
        <v>84</v>
      </c>
    </row>
    <row r="490" spans="2:27" x14ac:dyDescent="0.2">
      <c r="C490" s="105" t="s">
        <v>773</v>
      </c>
      <c r="D490" s="105">
        <v>6134.7096774193551</v>
      </c>
      <c r="E490" s="105">
        <v>192</v>
      </c>
    </row>
    <row r="491" spans="2:27" x14ac:dyDescent="0.2">
      <c r="C491" s="105" t="s">
        <v>774</v>
      </c>
      <c r="D491" s="105">
        <v>1528.6153846153848</v>
      </c>
      <c r="E491" s="105">
        <v>47.769230769230774</v>
      </c>
    </row>
    <row r="492" spans="2:27" x14ac:dyDescent="0.2">
      <c r="C492" s="105" t="s">
        <v>775</v>
      </c>
      <c r="D492" s="105" t="s">
        <v>175</v>
      </c>
      <c r="E492" s="105" t="s">
        <v>90</v>
      </c>
      <c r="F492" s="105" t="s">
        <v>176</v>
      </c>
      <c r="G492" s="105" t="s">
        <v>177</v>
      </c>
      <c r="H492" s="105" t="s">
        <v>178</v>
      </c>
      <c r="I492" s="105" t="s">
        <v>179</v>
      </c>
      <c r="J492" s="105" t="s">
        <v>180</v>
      </c>
      <c r="K492" s="105" t="s">
        <v>181</v>
      </c>
      <c r="L492" s="105" t="s">
        <v>109</v>
      </c>
      <c r="M492" s="105" t="s">
        <v>110</v>
      </c>
      <c r="N492" s="105" t="s">
        <v>145</v>
      </c>
      <c r="O492" s="105" t="s">
        <v>114</v>
      </c>
      <c r="P492" s="105" t="s">
        <v>146</v>
      </c>
      <c r="Q492" s="105" t="s">
        <v>115</v>
      </c>
      <c r="R492" s="105" t="s">
        <v>165</v>
      </c>
      <c r="S492" s="105" t="s">
        <v>167</v>
      </c>
      <c r="T492" s="105" t="s">
        <v>182</v>
      </c>
      <c r="U492" s="105" t="s">
        <v>183</v>
      </c>
      <c r="V492" s="105" t="s">
        <v>184</v>
      </c>
      <c r="W492" s="105" t="s">
        <v>185</v>
      </c>
      <c r="X492" s="105" t="s">
        <v>154</v>
      </c>
      <c r="Y492" s="105" t="s">
        <v>186</v>
      </c>
      <c r="Z492" s="105" t="s">
        <v>187</v>
      </c>
      <c r="AA492" s="105" t="s">
        <v>188</v>
      </c>
    </row>
    <row r="493" spans="2:27" x14ac:dyDescent="0.2">
      <c r="C493" s="105" t="s">
        <v>776</v>
      </c>
      <c r="D493" s="105" t="s">
        <v>175</v>
      </c>
      <c r="E493" s="105" t="s">
        <v>90</v>
      </c>
      <c r="F493" s="105" t="s">
        <v>176</v>
      </c>
      <c r="G493" s="105" t="s">
        <v>177</v>
      </c>
      <c r="H493" s="105" t="s">
        <v>178</v>
      </c>
      <c r="I493" s="105" t="s">
        <v>179</v>
      </c>
      <c r="J493" s="105" t="s">
        <v>180</v>
      </c>
      <c r="K493" s="105" t="s">
        <v>181</v>
      </c>
      <c r="L493" s="105" t="s">
        <v>109</v>
      </c>
      <c r="M493" s="105" t="s">
        <v>110</v>
      </c>
      <c r="N493" s="105" t="s">
        <v>145</v>
      </c>
      <c r="O493" s="105" t="s">
        <v>114</v>
      </c>
      <c r="P493" s="105" t="s">
        <v>146</v>
      </c>
      <c r="Q493" s="105" t="s">
        <v>115</v>
      </c>
      <c r="R493" s="105" t="s">
        <v>165</v>
      </c>
      <c r="S493" s="105" t="s">
        <v>167</v>
      </c>
      <c r="T493" s="105" t="s">
        <v>182</v>
      </c>
      <c r="U493" s="105" t="s">
        <v>183</v>
      </c>
      <c r="V493" s="105" t="s">
        <v>184</v>
      </c>
      <c r="W493" s="105" t="s">
        <v>185</v>
      </c>
      <c r="X493" s="105" t="s">
        <v>154</v>
      </c>
      <c r="Y493" s="105" t="s">
        <v>186</v>
      </c>
      <c r="Z493" s="105" t="s">
        <v>187</v>
      </c>
      <c r="AA493" s="105" t="s">
        <v>188</v>
      </c>
    </row>
    <row r="495" spans="2:27" x14ac:dyDescent="0.2">
      <c r="D495" s="105" t="s">
        <v>47</v>
      </c>
      <c r="E495" s="105" t="s">
        <v>48</v>
      </c>
      <c r="F495" s="105" t="s">
        <v>49</v>
      </c>
      <c r="G495" s="105" t="s">
        <v>50</v>
      </c>
      <c r="H495" s="105" t="s">
        <v>51</v>
      </c>
      <c r="I495" s="105" t="s">
        <v>52</v>
      </c>
      <c r="J495" s="105" t="s">
        <v>53</v>
      </c>
      <c r="K495" s="105">
        <v>0.01</v>
      </c>
      <c r="L495" s="105">
        <v>0.05</v>
      </c>
      <c r="M495" s="105">
        <v>0.1</v>
      </c>
      <c r="N495" s="105">
        <v>0.2</v>
      </c>
      <c r="O495" s="105">
        <v>0.3</v>
      </c>
      <c r="P495" s="105">
        <v>0.4</v>
      </c>
      <c r="Q495" s="105">
        <v>0.5</v>
      </c>
      <c r="R495" s="105">
        <v>0.6</v>
      </c>
      <c r="S495" s="105">
        <v>0.7</v>
      </c>
      <c r="T495" s="105">
        <v>0.8</v>
      </c>
      <c r="U495" s="105">
        <v>0.9</v>
      </c>
      <c r="V495" s="105">
        <v>0.95</v>
      </c>
      <c r="W495" s="105">
        <v>0.99</v>
      </c>
      <c r="X495" s="105">
        <v>0.995</v>
      </c>
      <c r="Y495" s="105">
        <v>0.999</v>
      </c>
      <c r="Z495" s="105">
        <v>0.99950000000000006</v>
      </c>
      <c r="AA495" s="105">
        <v>0.99990000000000001</v>
      </c>
    </row>
    <row r="496" spans="2:27" x14ac:dyDescent="0.2">
      <c r="B496" s="105" t="s">
        <v>779</v>
      </c>
      <c r="C496" s="105" t="s">
        <v>772</v>
      </c>
      <c r="D496" s="105">
        <v>2690</v>
      </c>
      <c r="E496" s="105">
        <v>84.1</v>
      </c>
    </row>
    <row r="497" spans="2:27" x14ac:dyDescent="0.2">
      <c r="C497" s="105" t="s">
        <v>773</v>
      </c>
      <c r="D497" s="105">
        <v>7006.9954128440368</v>
      </c>
      <c r="E497" s="105">
        <v>219</v>
      </c>
    </row>
    <row r="498" spans="2:27" x14ac:dyDescent="0.2">
      <c r="C498" s="105" t="s">
        <v>774</v>
      </c>
      <c r="D498" s="105">
        <v>1991.9729260038418</v>
      </c>
      <c r="E498" s="105">
        <v>62.276923076923083</v>
      </c>
    </row>
    <row r="499" spans="2:27" x14ac:dyDescent="0.2">
      <c r="C499" s="105" t="s">
        <v>775</v>
      </c>
      <c r="D499" s="105" t="s">
        <v>189</v>
      </c>
      <c r="E499" s="105" t="s">
        <v>67</v>
      </c>
      <c r="F499" s="105" t="s">
        <v>103</v>
      </c>
      <c r="G499" s="105" t="s">
        <v>177</v>
      </c>
      <c r="H499" s="105" t="s">
        <v>190</v>
      </c>
      <c r="I499" s="105" t="s">
        <v>191</v>
      </c>
      <c r="J499" s="105" t="s">
        <v>192</v>
      </c>
      <c r="K499" s="105" t="s">
        <v>193</v>
      </c>
      <c r="L499" s="105" t="s">
        <v>108</v>
      </c>
      <c r="M499" s="105" t="s">
        <v>111</v>
      </c>
      <c r="N499" s="105" t="s">
        <v>194</v>
      </c>
      <c r="O499" s="105" t="s">
        <v>146</v>
      </c>
      <c r="P499" s="105" t="s">
        <v>115</v>
      </c>
      <c r="Q499" s="105" t="s">
        <v>149</v>
      </c>
      <c r="R499" s="105" t="s">
        <v>166</v>
      </c>
      <c r="S499" s="105" t="s">
        <v>151</v>
      </c>
      <c r="T499" s="105" t="s">
        <v>129</v>
      </c>
      <c r="U499" s="105" t="s">
        <v>195</v>
      </c>
      <c r="V499" s="105" t="s">
        <v>196</v>
      </c>
      <c r="W499" s="105" t="s">
        <v>197</v>
      </c>
      <c r="X499" s="105" t="s">
        <v>154</v>
      </c>
      <c r="Y499" s="105" t="s">
        <v>198</v>
      </c>
      <c r="Z499" s="105" t="s">
        <v>199</v>
      </c>
      <c r="AA499" s="105" t="s">
        <v>200</v>
      </c>
    </row>
    <row r="500" spans="2:27" x14ac:dyDescent="0.2">
      <c r="C500" s="105" t="s">
        <v>776</v>
      </c>
      <c r="D500" s="105" t="s">
        <v>189</v>
      </c>
      <c r="E500" s="105" t="s">
        <v>67</v>
      </c>
      <c r="F500" s="105" t="s">
        <v>103</v>
      </c>
      <c r="G500" s="105" t="s">
        <v>177</v>
      </c>
      <c r="H500" s="105" t="s">
        <v>190</v>
      </c>
      <c r="I500" s="105" t="s">
        <v>191</v>
      </c>
      <c r="J500" s="105" t="s">
        <v>192</v>
      </c>
      <c r="K500" s="105" t="s">
        <v>193</v>
      </c>
      <c r="L500" s="105" t="s">
        <v>108</v>
      </c>
      <c r="M500" s="105" t="s">
        <v>111</v>
      </c>
      <c r="N500" s="105" t="s">
        <v>194</v>
      </c>
      <c r="O500" s="105" t="s">
        <v>146</v>
      </c>
      <c r="P500" s="105" t="s">
        <v>115</v>
      </c>
      <c r="Q500" s="105" t="s">
        <v>149</v>
      </c>
      <c r="R500" s="105" t="s">
        <v>166</v>
      </c>
      <c r="S500" s="105" t="s">
        <v>151</v>
      </c>
      <c r="T500" s="105" t="s">
        <v>129</v>
      </c>
      <c r="U500" s="105" t="s">
        <v>195</v>
      </c>
      <c r="V500" s="105" t="s">
        <v>196</v>
      </c>
      <c r="W500" s="105" t="s">
        <v>197</v>
      </c>
      <c r="X500" s="105" t="s">
        <v>154</v>
      </c>
      <c r="Y500" s="105" t="s">
        <v>198</v>
      </c>
      <c r="Z500" s="105" t="s">
        <v>199</v>
      </c>
      <c r="AA500" s="105" t="s">
        <v>200</v>
      </c>
    </row>
    <row r="503" spans="2:27" x14ac:dyDescent="0.2">
      <c r="D503" s="105" t="s">
        <v>47</v>
      </c>
      <c r="E503" s="105" t="s">
        <v>48</v>
      </c>
      <c r="F503" s="105" t="s">
        <v>49</v>
      </c>
      <c r="G503" s="105" t="s">
        <v>50</v>
      </c>
      <c r="H503" s="105" t="s">
        <v>51</v>
      </c>
      <c r="I503" s="105" t="s">
        <v>52</v>
      </c>
      <c r="J503" s="105" t="s">
        <v>53</v>
      </c>
      <c r="K503" s="105">
        <v>0.01</v>
      </c>
      <c r="L503" s="105">
        <v>0.05</v>
      </c>
      <c r="M503" s="105">
        <v>0.1</v>
      </c>
      <c r="N503" s="105">
        <v>0.2</v>
      </c>
      <c r="O503" s="105">
        <v>0.3</v>
      </c>
      <c r="P503" s="105">
        <v>0.4</v>
      </c>
      <c r="Q503" s="105">
        <v>0.5</v>
      </c>
      <c r="R503" s="105">
        <v>0.6</v>
      </c>
      <c r="S503" s="105">
        <v>0.7</v>
      </c>
      <c r="T503" s="105">
        <v>0.8</v>
      </c>
      <c r="U503" s="105">
        <v>0.9</v>
      </c>
      <c r="V503" s="105">
        <v>0.95</v>
      </c>
      <c r="W503" s="105">
        <v>0.99</v>
      </c>
      <c r="X503" s="105">
        <v>0.995</v>
      </c>
      <c r="Y503" s="105">
        <v>0.999</v>
      </c>
      <c r="Z503" s="105">
        <v>0.99950000000000006</v>
      </c>
      <c r="AA503" s="105">
        <v>0.99990000000000001</v>
      </c>
    </row>
    <row r="504" spans="2:27" x14ac:dyDescent="0.2">
      <c r="B504" s="105" t="s">
        <v>795</v>
      </c>
      <c r="C504" s="105" t="s">
        <v>772</v>
      </c>
      <c r="D504" s="105">
        <v>28.2</v>
      </c>
      <c r="E504" s="105">
        <v>883</v>
      </c>
      <c r="F504" s="105">
        <v>926</v>
      </c>
      <c r="G504" s="105" t="s">
        <v>82</v>
      </c>
      <c r="H504" s="105" t="s">
        <v>83</v>
      </c>
      <c r="I504" s="105" t="s">
        <v>84</v>
      </c>
      <c r="J504" s="105" t="s">
        <v>85</v>
      </c>
      <c r="K504" s="105" t="s">
        <v>68</v>
      </c>
      <c r="L504" s="105" t="s">
        <v>86</v>
      </c>
      <c r="M504" s="105" t="s">
        <v>86</v>
      </c>
      <c r="N504" s="105" t="s">
        <v>87</v>
      </c>
      <c r="O504" s="105" t="s">
        <v>87</v>
      </c>
      <c r="P504" s="105" t="s">
        <v>88</v>
      </c>
      <c r="Q504" s="105" t="s">
        <v>89</v>
      </c>
      <c r="R504" s="105" t="s">
        <v>242</v>
      </c>
      <c r="S504" s="105" t="s">
        <v>243</v>
      </c>
      <c r="T504" s="105" t="s">
        <v>252</v>
      </c>
      <c r="U504" s="105" t="s">
        <v>254</v>
      </c>
      <c r="V504" s="105" t="s">
        <v>75</v>
      </c>
      <c r="W504" s="105" t="s">
        <v>108</v>
      </c>
      <c r="X504" s="105" t="s">
        <v>111</v>
      </c>
      <c r="Y504" s="105" t="s">
        <v>168</v>
      </c>
      <c r="Z504" s="105" t="s">
        <v>227</v>
      </c>
      <c r="AA504" s="105" t="s">
        <v>425</v>
      </c>
    </row>
    <row r="505" spans="2:27" x14ac:dyDescent="0.2">
      <c r="C505" s="105" t="s">
        <v>773</v>
      </c>
      <c r="D505" s="105">
        <v>31.333019999999998</v>
      </c>
      <c r="E505" s="105">
        <v>981.10129999999992</v>
      </c>
      <c r="K505" s="105">
        <v>22</v>
      </c>
      <c r="L505" s="105">
        <v>22</v>
      </c>
      <c r="M505" s="105">
        <v>23</v>
      </c>
      <c r="N505" s="105">
        <v>23</v>
      </c>
      <c r="O505" s="105">
        <v>28</v>
      </c>
      <c r="P505" s="105">
        <v>29</v>
      </c>
      <c r="Q505" s="105">
        <v>30</v>
      </c>
      <c r="R505" s="105">
        <v>30</v>
      </c>
      <c r="S505" s="105">
        <v>31</v>
      </c>
      <c r="T505" s="105">
        <v>31</v>
      </c>
      <c r="U505" s="105">
        <v>32</v>
      </c>
      <c r="V505" s="105">
        <v>37</v>
      </c>
      <c r="W505" s="105">
        <v>103</v>
      </c>
      <c r="X505" s="105">
        <v>110</v>
      </c>
      <c r="Y505" s="105">
        <v>187</v>
      </c>
      <c r="Z505" s="105">
        <v>199</v>
      </c>
      <c r="AA505" s="105">
        <v>287</v>
      </c>
    </row>
    <row r="506" spans="2:27" x14ac:dyDescent="0.2">
      <c r="C506" s="105" t="s">
        <v>774</v>
      </c>
      <c r="D506" s="105">
        <v>6.1350169875424685</v>
      </c>
      <c r="E506" s="105">
        <v>192.1</v>
      </c>
      <c r="K506" s="105">
        <v>133.29740433390222</v>
      </c>
      <c r="L506" s="105">
        <v>137.89386655231266</v>
      </c>
      <c r="M506" s="105">
        <v>137.89386655231266</v>
      </c>
      <c r="N506" s="105">
        <v>142.49032877072307</v>
      </c>
      <c r="O506" s="105">
        <v>142.49032877072307</v>
      </c>
      <c r="P506" s="105">
        <v>147.0867909891335</v>
      </c>
      <c r="Q506" s="105">
        <v>151.68325320754391</v>
      </c>
      <c r="R506" s="105">
        <v>156.27971542595432</v>
      </c>
      <c r="S506" s="105">
        <v>160.87617764436476</v>
      </c>
      <c r="T506" s="105">
        <v>165.47263986277517</v>
      </c>
      <c r="U506" s="105">
        <v>174.66556429959601</v>
      </c>
      <c r="V506" s="105">
        <v>216.03372426528981</v>
      </c>
      <c r="W506" s="105">
        <v>280.38419532303573</v>
      </c>
      <c r="X506" s="105">
        <v>574.3279541905257</v>
      </c>
      <c r="Y506" s="105">
        <v>726.7006767308693</v>
      </c>
      <c r="Z506" s="105">
        <v>876.1431546069756</v>
      </c>
      <c r="AA506" s="105">
        <v>1485.6340447683499</v>
      </c>
    </row>
    <row r="507" spans="2:27" x14ac:dyDescent="0.2">
      <c r="C507" s="105" t="s">
        <v>775</v>
      </c>
      <c r="D507" s="105">
        <v>20.598399999999998</v>
      </c>
      <c r="E507" s="105">
        <v>643.53600000000006</v>
      </c>
      <c r="K507" s="105" t="s">
        <v>95</v>
      </c>
      <c r="L507" s="105" t="s">
        <v>98</v>
      </c>
      <c r="M507" s="105" t="s">
        <v>81</v>
      </c>
      <c r="N507" s="105" t="s">
        <v>87</v>
      </c>
      <c r="O507" s="105" t="s">
        <v>89</v>
      </c>
      <c r="P507" s="105" t="s">
        <v>252</v>
      </c>
      <c r="Q507" s="105" t="s">
        <v>70</v>
      </c>
      <c r="R507" s="105" t="s">
        <v>73</v>
      </c>
      <c r="S507" s="105" t="s">
        <v>177</v>
      </c>
      <c r="T507" s="105" t="s">
        <v>498</v>
      </c>
      <c r="U507" s="105" t="s">
        <v>140</v>
      </c>
      <c r="V507" s="105" t="s">
        <v>516</v>
      </c>
      <c r="W507" s="105" t="s">
        <v>417</v>
      </c>
      <c r="X507" s="105" t="s">
        <v>519</v>
      </c>
      <c r="Y507" s="105" t="s">
        <v>547</v>
      </c>
      <c r="Z507" s="105" t="s">
        <v>338</v>
      </c>
      <c r="AA507" s="105" t="s">
        <v>766</v>
      </c>
    </row>
    <row r="508" spans="2:27" x14ac:dyDescent="0.2">
      <c r="C508" s="105" t="s">
        <v>776</v>
      </c>
      <c r="D508" s="105">
        <v>31.4</v>
      </c>
      <c r="E508" s="105" t="s">
        <v>511</v>
      </c>
      <c r="F508" s="105" t="s">
        <v>512</v>
      </c>
      <c r="G508" s="105" t="s">
        <v>94</v>
      </c>
      <c r="H508" s="105" t="s">
        <v>513</v>
      </c>
      <c r="I508" s="105" t="s">
        <v>514</v>
      </c>
      <c r="J508" s="105" t="s">
        <v>515</v>
      </c>
      <c r="K508" s="105" t="s">
        <v>96</v>
      </c>
      <c r="L508" s="105" t="s">
        <v>96</v>
      </c>
      <c r="M508" s="105" t="s">
        <v>97</v>
      </c>
      <c r="N508" s="105" t="s">
        <v>97</v>
      </c>
      <c r="O508" s="105" t="s">
        <v>68</v>
      </c>
      <c r="P508" s="105" t="s">
        <v>86</v>
      </c>
      <c r="Q508" s="105" t="s">
        <v>87</v>
      </c>
      <c r="R508" s="105" t="s">
        <v>87</v>
      </c>
      <c r="S508" s="105" t="s">
        <v>88</v>
      </c>
      <c r="T508" s="105" t="s">
        <v>88</v>
      </c>
      <c r="U508" s="105" t="s">
        <v>89</v>
      </c>
      <c r="V508" s="105" t="s">
        <v>254</v>
      </c>
      <c r="W508" s="105" t="s">
        <v>368</v>
      </c>
      <c r="X508" s="105" t="s">
        <v>169</v>
      </c>
      <c r="Y508" s="105" t="s">
        <v>171</v>
      </c>
      <c r="Z508" s="105" t="s">
        <v>516</v>
      </c>
      <c r="AA508" s="105" t="s">
        <v>403</v>
      </c>
    </row>
    <row r="510" spans="2:27" x14ac:dyDescent="0.2">
      <c r="D510" s="105" t="s">
        <v>47</v>
      </c>
      <c r="E510" s="105" t="s">
        <v>48</v>
      </c>
      <c r="F510" s="105" t="s">
        <v>49</v>
      </c>
      <c r="G510" s="105" t="s">
        <v>50</v>
      </c>
      <c r="H510" s="105" t="s">
        <v>51</v>
      </c>
      <c r="I510" s="105" t="s">
        <v>52</v>
      </c>
      <c r="J510" s="105" t="s">
        <v>53</v>
      </c>
      <c r="K510" s="105">
        <v>0.01</v>
      </c>
      <c r="L510" s="105">
        <v>0.05</v>
      </c>
      <c r="M510" s="105">
        <v>0.1</v>
      </c>
      <c r="N510" s="105">
        <v>0.2</v>
      </c>
      <c r="O510" s="105">
        <v>0.3</v>
      </c>
      <c r="P510" s="105">
        <v>0.4</v>
      </c>
      <c r="Q510" s="105">
        <v>0.5</v>
      </c>
      <c r="R510" s="105">
        <v>0.6</v>
      </c>
      <c r="S510" s="105">
        <v>0.7</v>
      </c>
      <c r="T510" s="105">
        <v>0.8</v>
      </c>
      <c r="U510" s="105">
        <v>0.9</v>
      </c>
      <c r="V510" s="105">
        <v>0.95</v>
      </c>
      <c r="W510" s="105">
        <v>0.99</v>
      </c>
      <c r="X510" s="105">
        <v>0.995</v>
      </c>
      <c r="Y510" s="105">
        <v>0.999</v>
      </c>
      <c r="Z510" s="105">
        <v>0.99950000000000006</v>
      </c>
      <c r="AA510" s="105">
        <v>0.99990000000000001</v>
      </c>
    </row>
    <row r="511" spans="2:27" x14ac:dyDescent="0.2">
      <c r="B511" s="105" t="s">
        <v>796</v>
      </c>
      <c r="C511" s="105" t="s">
        <v>772</v>
      </c>
      <c r="D511" s="105">
        <v>37.4</v>
      </c>
      <c r="E511" s="105" t="s">
        <v>598</v>
      </c>
      <c r="F511" s="105" t="s">
        <v>599</v>
      </c>
      <c r="G511" s="105" t="s">
        <v>452</v>
      </c>
      <c r="H511" s="105" t="s">
        <v>600</v>
      </c>
      <c r="I511" s="105" t="s">
        <v>601</v>
      </c>
      <c r="K511" s="105" t="s">
        <v>95</v>
      </c>
      <c r="L511" s="105" t="s">
        <v>95</v>
      </c>
      <c r="M511" s="105" t="s">
        <v>251</v>
      </c>
      <c r="N511" s="105" t="s">
        <v>251</v>
      </c>
      <c r="O511" s="105" t="s">
        <v>96</v>
      </c>
      <c r="P511" s="105" t="s">
        <v>96</v>
      </c>
      <c r="Q511" s="105" t="s">
        <v>97</v>
      </c>
      <c r="R511" s="105" t="s">
        <v>82</v>
      </c>
      <c r="S511" s="105" t="s">
        <v>68</v>
      </c>
      <c r="T511" s="105" t="s">
        <v>86</v>
      </c>
      <c r="U511" s="105" t="s">
        <v>87</v>
      </c>
      <c r="V511" s="105" t="s">
        <v>244</v>
      </c>
      <c r="W511" s="105" t="s">
        <v>74</v>
      </c>
      <c r="X511" s="105" t="s">
        <v>233</v>
      </c>
      <c r="Y511" s="105" t="s">
        <v>110</v>
      </c>
      <c r="Z511" s="105" t="s">
        <v>207</v>
      </c>
      <c r="AA511" s="105" t="s">
        <v>425</v>
      </c>
    </row>
    <row r="512" spans="2:27" x14ac:dyDescent="0.2">
      <c r="C512" s="105" t="s">
        <v>773</v>
      </c>
      <c r="D512" s="105">
        <v>36.825604297224707</v>
      </c>
      <c r="E512" s="105">
        <v>1149</v>
      </c>
    </row>
    <row r="513" spans="2:27" x14ac:dyDescent="0.2">
      <c r="C513" s="105" t="s">
        <v>774</v>
      </c>
      <c r="D513" s="105">
        <v>16.03170874198447</v>
      </c>
      <c r="E513" s="105">
        <v>501.0980620155039</v>
      </c>
    </row>
    <row r="514" spans="2:27" x14ac:dyDescent="0.2">
      <c r="C514" s="105" t="s">
        <v>775</v>
      </c>
      <c r="D514" s="105">
        <v>23.4848</v>
      </c>
      <c r="E514" s="105">
        <v>732.75200000000007</v>
      </c>
    </row>
    <row r="515" spans="2:27" x14ac:dyDescent="0.2">
      <c r="C515" s="105" t="s">
        <v>776</v>
      </c>
      <c r="D515" s="105">
        <v>35.799999999999997</v>
      </c>
      <c r="E515" s="105">
        <v>1117</v>
      </c>
    </row>
    <row r="517" spans="2:27" x14ac:dyDescent="0.2">
      <c r="D517" s="105" t="s">
        <v>47</v>
      </c>
      <c r="E517" s="105" t="s">
        <v>48</v>
      </c>
      <c r="F517" s="105" t="s">
        <v>49</v>
      </c>
      <c r="G517" s="105" t="s">
        <v>50</v>
      </c>
      <c r="H517" s="105" t="s">
        <v>51</v>
      </c>
      <c r="I517" s="105" t="s">
        <v>52</v>
      </c>
      <c r="J517" s="105" t="s">
        <v>53</v>
      </c>
      <c r="K517" s="105">
        <v>0.01</v>
      </c>
      <c r="L517" s="105">
        <v>0.05</v>
      </c>
      <c r="M517" s="105">
        <v>0.1</v>
      </c>
      <c r="N517" s="105">
        <v>0.2</v>
      </c>
      <c r="O517" s="105">
        <v>0.3</v>
      </c>
      <c r="P517" s="105">
        <v>0.4</v>
      </c>
      <c r="Q517" s="105">
        <v>0.5</v>
      </c>
      <c r="R517" s="105">
        <v>0.6</v>
      </c>
      <c r="S517" s="105">
        <v>0.7</v>
      </c>
      <c r="T517" s="105">
        <v>0.8</v>
      </c>
      <c r="U517" s="105">
        <v>0.9</v>
      </c>
      <c r="V517" s="105">
        <v>0.95</v>
      </c>
      <c r="W517" s="105">
        <v>0.99</v>
      </c>
      <c r="X517" s="105">
        <v>0.995</v>
      </c>
      <c r="Y517" s="105">
        <v>0.999</v>
      </c>
      <c r="Z517" s="105">
        <v>0.99950000000000006</v>
      </c>
      <c r="AA517" s="105">
        <v>0.99990000000000001</v>
      </c>
    </row>
    <row r="518" spans="2:27" x14ac:dyDescent="0.2">
      <c r="B518" s="105" t="s">
        <v>797</v>
      </c>
      <c r="C518" s="105" t="s">
        <v>772</v>
      </c>
      <c r="D518" s="105">
        <v>39.9</v>
      </c>
      <c r="E518" s="105" t="s">
        <v>602</v>
      </c>
      <c r="F518" s="105" t="s">
        <v>603</v>
      </c>
      <c r="G518" s="105" t="s">
        <v>265</v>
      </c>
      <c r="H518" s="105" t="s">
        <v>604</v>
      </c>
      <c r="I518" s="105" t="s">
        <v>605</v>
      </c>
      <c r="J518" s="105" t="s">
        <v>606</v>
      </c>
      <c r="K518" s="105" t="s">
        <v>251</v>
      </c>
      <c r="L518" s="105" t="s">
        <v>98</v>
      </c>
      <c r="M518" s="105" t="s">
        <v>241</v>
      </c>
      <c r="N518" s="105" t="s">
        <v>68</v>
      </c>
      <c r="O518" s="105" t="s">
        <v>87</v>
      </c>
      <c r="P518" s="105" t="s">
        <v>89</v>
      </c>
      <c r="Q518" s="105" t="s">
        <v>244</v>
      </c>
      <c r="R518" s="105" t="s">
        <v>456</v>
      </c>
      <c r="S518" s="105" t="s">
        <v>72</v>
      </c>
      <c r="T518" s="105" t="s">
        <v>73</v>
      </c>
      <c r="U518" s="105" t="s">
        <v>177</v>
      </c>
      <c r="V518" s="105" t="s">
        <v>76</v>
      </c>
      <c r="W518" s="105" t="s">
        <v>194</v>
      </c>
      <c r="X518" s="105" t="s">
        <v>147</v>
      </c>
      <c r="Y518" s="105" t="s">
        <v>124</v>
      </c>
      <c r="Z518" s="105" t="s">
        <v>237</v>
      </c>
      <c r="AA518" s="105" t="s">
        <v>498</v>
      </c>
    </row>
    <row r="519" spans="2:27" x14ac:dyDescent="0.2">
      <c r="C519" s="105" t="s">
        <v>773</v>
      </c>
      <c r="D519" s="105">
        <v>41.623461853978668</v>
      </c>
      <c r="E519" s="105">
        <v>1301</v>
      </c>
    </row>
    <row r="520" spans="2:27" x14ac:dyDescent="0.2">
      <c r="C520" s="105" t="s">
        <v>774</v>
      </c>
      <c r="D520" s="105">
        <v>23.847792189627196</v>
      </c>
      <c r="E520" s="105">
        <v>745.31821705426353</v>
      </c>
    </row>
    <row r="521" spans="2:27" x14ac:dyDescent="0.2">
      <c r="C521" s="105" t="s">
        <v>775</v>
      </c>
      <c r="D521" s="105">
        <v>25.584000000000003</v>
      </c>
      <c r="E521" s="105">
        <v>799.6640000000001</v>
      </c>
    </row>
    <row r="522" spans="2:27" x14ac:dyDescent="0.2">
      <c r="C522" s="105" t="s">
        <v>776</v>
      </c>
      <c r="D522" s="105">
        <v>39</v>
      </c>
      <c r="E522" s="105">
        <v>1219</v>
      </c>
    </row>
    <row r="524" spans="2:27" x14ac:dyDescent="0.2">
      <c r="D524" s="105" t="s">
        <v>47</v>
      </c>
      <c r="E524" s="105" t="s">
        <v>48</v>
      </c>
      <c r="F524" s="105" t="s">
        <v>49</v>
      </c>
      <c r="G524" s="105" t="s">
        <v>50</v>
      </c>
      <c r="H524" s="105" t="s">
        <v>51</v>
      </c>
      <c r="I524" s="105" t="s">
        <v>52</v>
      </c>
      <c r="J524" s="105" t="s">
        <v>53</v>
      </c>
      <c r="K524" s="105">
        <v>0.01</v>
      </c>
      <c r="L524" s="105">
        <v>0.05</v>
      </c>
      <c r="M524" s="105">
        <v>0.1</v>
      </c>
      <c r="N524" s="105">
        <v>0.2</v>
      </c>
      <c r="O524" s="105">
        <v>0.3</v>
      </c>
      <c r="P524" s="105">
        <v>0.4</v>
      </c>
      <c r="Q524" s="105">
        <v>0.5</v>
      </c>
      <c r="R524" s="105">
        <v>0.6</v>
      </c>
      <c r="S524" s="105">
        <v>0.7</v>
      </c>
      <c r="T524" s="105">
        <v>0.8</v>
      </c>
      <c r="U524" s="105">
        <v>0.9</v>
      </c>
      <c r="V524" s="105">
        <v>0.95</v>
      </c>
      <c r="W524" s="105">
        <v>0.99</v>
      </c>
      <c r="X524" s="105">
        <v>0.995</v>
      </c>
      <c r="Y524" s="105">
        <v>0.999</v>
      </c>
      <c r="Z524" s="105">
        <v>0.99950000000000006</v>
      </c>
      <c r="AA524" s="105">
        <v>0.99990000000000001</v>
      </c>
    </row>
    <row r="525" spans="2:27" x14ac:dyDescent="0.2">
      <c r="B525" s="105" t="s">
        <v>798</v>
      </c>
      <c r="C525" s="105" t="s">
        <v>772</v>
      </c>
      <c r="D525" s="105">
        <v>45.3</v>
      </c>
      <c r="E525" s="105" t="s">
        <v>607</v>
      </c>
      <c r="F525" s="105" t="s">
        <v>608</v>
      </c>
      <c r="G525" s="105" t="s">
        <v>93</v>
      </c>
      <c r="H525" s="105" t="s">
        <v>609</v>
      </c>
      <c r="I525" s="105" t="s">
        <v>610</v>
      </c>
      <c r="K525" s="105" t="s">
        <v>251</v>
      </c>
      <c r="L525" s="105" t="s">
        <v>98</v>
      </c>
      <c r="M525" s="105" t="s">
        <v>241</v>
      </c>
      <c r="N525" s="105" t="s">
        <v>81</v>
      </c>
      <c r="O525" s="105" t="s">
        <v>68</v>
      </c>
      <c r="P525" s="105" t="s">
        <v>87</v>
      </c>
      <c r="Q525" s="105" t="s">
        <v>89</v>
      </c>
      <c r="R525" s="105" t="s">
        <v>242</v>
      </c>
      <c r="S525" s="105" t="s">
        <v>243</v>
      </c>
      <c r="T525" s="105" t="s">
        <v>244</v>
      </c>
      <c r="U525" s="105" t="s">
        <v>456</v>
      </c>
      <c r="V525" s="105" t="s">
        <v>73</v>
      </c>
      <c r="W525" s="105" t="s">
        <v>193</v>
      </c>
      <c r="X525" s="105" t="s">
        <v>110</v>
      </c>
      <c r="Y525" s="105" t="s">
        <v>148</v>
      </c>
      <c r="Z525" s="105" t="s">
        <v>217</v>
      </c>
      <c r="AA525" s="105" t="s">
        <v>409</v>
      </c>
    </row>
    <row r="526" spans="2:27" x14ac:dyDescent="0.2">
      <c r="C526" s="105" t="s">
        <v>773</v>
      </c>
      <c r="D526" s="105">
        <v>48.003558191252779</v>
      </c>
      <c r="E526" s="105">
        <v>1499</v>
      </c>
    </row>
    <row r="527" spans="2:27" x14ac:dyDescent="0.2">
      <c r="C527" s="105" t="s">
        <v>774</v>
      </c>
      <c r="D527" s="105">
        <v>28.131475085402702</v>
      </c>
      <c r="E527" s="105">
        <v>879.34147286821701</v>
      </c>
    </row>
    <row r="528" spans="2:27" x14ac:dyDescent="0.2">
      <c r="C528" s="105" t="s">
        <v>775</v>
      </c>
      <c r="D528" s="105">
        <v>28.339200000000009</v>
      </c>
      <c r="E528" s="105">
        <v>884.94400000000019</v>
      </c>
    </row>
    <row r="529" spans="2:27" x14ac:dyDescent="0.2">
      <c r="C529" s="105" t="s">
        <v>776</v>
      </c>
      <c r="D529" s="105">
        <v>43.2</v>
      </c>
      <c r="E529" s="105">
        <v>1349</v>
      </c>
    </row>
    <row r="531" spans="2:27" x14ac:dyDescent="0.2">
      <c r="D531" s="105" t="s">
        <v>47</v>
      </c>
      <c r="E531" s="105" t="s">
        <v>48</v>
      </c>
      <c r="F531" s="105" t="s">
        <v>49</v>
      </c>
      <c r="G531" s="105" t="s">
        <v>50</v>
      </c>
      <c r="H531" s="105" t="s">
        <v>51</v>
      </c>
      <c r="I531" s="105" t="s">
        <v>52</v>
      </c>
      <c r="J531" s="105" t="s">
        <v>53</v>
      </c>
      <c r="K531" s="105">
        <v>0.01</v>
      </c>
      <c r="L531" s="105">
        <v>0.05</v>
      </c>
      <c r="M531" s="105">
        <v>0.1</v>
      </c>
      <c r="N531" s="105">
        <v>0.2</v>
      </c>
      <c r="O531" s="105">
        <v>0.3</v>
      </c>
      <c r="P531" s="105">
        <v>0.4</v>
      </c>
      <c r="Q531" s="105">
        <v>0.5</v>
      </c>
      <c r="R531" s="105">
        <v>0.6</v>
      </c>
      <c r="S531" s="105">
        <v>0.7</v>
      </c>
      <c r="T531" s="105">
        <v>0.8</v>
      </c>
      <c r="U531" s="105">
        <v>0.9</v>
      </c>
      <c r="V531" s="105">
        <v>0.95</v>
      </c>
      <c r="W531" s="105">
        <v>0.99</v>
      </c>
      <c r="X531" s="105">
        <v>0.995</v>
      </c>
      <c r="Y531" s="105">
        <v>0.999</v>
      </c>
      <c r="Z531" s="105">
        <v>0.99950000000000006</v>
      </c>
      <c r="AA531" s="105">
        <v>0.99990000000000001</v>
      </c>
    </row>
    <row r="532" spans="2:27" x14ac:dyDescent="0.2">
      <c r="B532" s="105" t="s">
        <v>811</v>
      </c>
      <c r="C532" s="105" t="s">
        <v>772</v>
      </c>
      <c r="D532" s="105">
        <v>33.6</v>
      </c>
      <c r="E532" s="105" t="s">
        <v>611</v>
      </c>
      <c r="F532" s="105" t="s">
        <v>612</v>
      </c>
      <c r="G532" s="105" t="s">
        <v>94</v>
      </c>
      <c r="H532" s="105" t="s">
        <v>484</v>
      </c>
      <c r="I532" s="105" t="s">
        <v>613</v>
      </c>
      <c r="K532" s="105" t="s">
        <v>251</v>
      </c>
      <c r="L532" s="105" t="s">
        <v>97</v>
      </c>
      <c r="M532" s="105" t="s">
        <v>97</v>
      </c>
      <c r="N532" s="105" t="s">
        <v>97</v>
      </c>
      <c r="O532" s="105" t="s">
        <v>98</v>
      </c>
      <c r="P532" s="105" t="s">
        <v>82</v>
      </c>
      <c r="Q532" s="105" t="s">
        <v>241</v>
      </c>
      <c r="R532" s="105" t="s">
        <v>68</v>
      </c>
      <c r="S532" s="105" t="s">
        <v>88</v>
      </c>
      <c r="T532" s="105" t="s">
        <v>89</v>
      </c>
      <c r="U532" s="105" t="s">
        <v>242</v>
      </c>
      <c r="V532" s="105" t="s">
        <v>243</v>
      </c>
      <c r="W532" s="105" t="s">
        <v>75</v>
      </c>
      <c r="X532" s="105" t="s">
        <v>233</v>
      </c>
      <c r="Y532" s="105" t="s">
        <v>112</v>
      </c>
      <c r="Z532" s="105" t="s">
        <v>207</v>
      </c>
      <c r="AA532" s="105" t="s">
        <v>484</v>
      </c>
    </row>
    <row r="533" spans="2:27" x14ac:dyDescent="0.2">
      <c r="C533" s="105" t="s">
        <v>773</v>
      </c>
      <c r="D533" s="105" t="s">
        <v>243</v>
      </c>
      <c r="E533" s="105" t="s">
        <v>762</v>
      </c>
      <c r="F533" s="105" t="s">
        <v>763</v>
      </c>
      <c r="G533" s="105" t="s">
        <v>250</v>
      </c>
      <c r="H533" s="105" t="s">
        <v>764</v>
      </c>
      <c r="I533" s="105" t="s">
        <v>765</v>
      </c>
      <c r="K533" s="105" t="s">
        <v>268</v>
      </c>
      <c r="L533" s="105" t="s">
        <v>251</v>
      </c>
      <c r="M533" s="105" t="s">
        <v>251</v>
      </c>
      <c r="N533" s="105" t="s">
        <v>96</v>
      </c>
      <c r="O533" s="105" t="s">
        <v>98</v>
      </c>
      <c r="P533" s="105" t="s">
        <v>98</v>
      </c>
      <c r="Q533" s="105" t="s">
        <v>82</v>
      </c>
      <c r="R533" s="105" t="s">
        <v>241</v>
      </c>
      <c r="S533" s="105" t="s">
        <v>86</v>
      </c>
      <c r="T533" s="105" t="s">
        <v>86</v>
      </c>
      <c r="U533" s="105" t="s">
        <v>88</v>
      </c>
      <c r="V533" s="105" t="s">
        <v>254</v>
      </c>
      <c r="W533" s="105" t="s">
        <v>75</v>
      </c>
      <c r="X533" s="105" t="s">
        <v>233</v>
      </c>
      <c r="Y533" s="105" t="s">
        <v>113</v>
      </c>
      <c r="Z533" s="105" t="s">
        <v>207</v>
      </c>
      <c r="AA533" s="105" t="s">
        <v>417</v>
      </c>
    </row>
    <row r="534" spans="2:27" x14ac:dyDescent="0.2">
      <c r="C534" s="105" t="s">
        <v>774</v>
      </c>
      <c r="D534" s="105">
        <v>7.3093612964728312</v>
      </c>
      <c r="E534" s="105">
        <v>228.2</v>
      </c>
      <c r="K534" s="105">
        <v>165.62664329535451</v>
      </c>
      <c r="L534" s="105">
        <v>180.68361086765947</v>
      </c>
      <c r="M534" s="105">
        <v>180.68361086765947</v>
      </c>
      <c r="N534" s="105">
        <v>180.68361086765947</v>
      </c>
      <c r="O534" s="105">
        <v>188.2120946538119</v>
      </c>
      <c r="P534" s="105">
        <v>195.74057843996442</v>
      </c>
      <c r="Q534" s="105">
        <v>203.26906222611692</v>
      </c>
      <c r="R534" s="105">
        <v>218.32602979842184</v>
      </c>
      <c r="S534" s="105">
        <v>240.91148115687926</v>
      </c>
      <c r="T534" s="105">
        <v>296.09553023663454</v>
      </c>
      <c r="U534" s="105">
        <v>378.18141980718667</v>
      </c>
      <c r="V534" s="105">
        <v>533.55828220858893</v>
      </c>
      <c r="W534" s="105">
        <v>583.3961437335671</v>
      </c>
      <c r="X534" s="105">
        <v>600.98597721297108</v>
      </c>
      <c r="Y534" s="105">
        <v>753.43120070113935</v>
      </c>
      <c r="Z534" s="105">
        <v>1923.1551270815075</v>
      </c>
      <c r="AA534" s="105">
        <v>2642.4978089395199</v>
      </c>
    </row>
    <row r="535" spans="2:27" x14ac:dyDescent="0.2">
      <c r="C535" s="105" t="s">
        <v>775</v>
      </c>
      <c r="D535" s="105" t="s">
        <v>767</v>
      </c>
      <c r="E535" s="105">
        <v>836</v>
      </c>
      <c r="F535" s="105" t="s">
        <v>748</v>
      </c>
      <c r="G535" s="105" t="s">
        <v>81</v>
      </c>
      <c r="H535" s="105" t="s">
        <v>401</v>
      </c>
      <c r="I535" s="105" t="s">
        <v>749</v>
      </c>
      <c r="K535" s="105" t="s">
        <v>87</v>
      </c>
      <c r="L535" s="105" t="s">
        <v>88</v>
      </c>
      <c r="M535" s="105" t="s">
        <v>89</v>
      </c>
      <c r="N535" s="105" t="s">
        <v>242</v>
      </c>
      <c r="O535" s="105" t="s">
        <v>242</v>
      </c>
      <c r="P535" s="105" t="s">
        <v>242</v>
      </c>
      <c r="Q535" s="105" t="s">
        <v>243</v>
      </c>
      <c r="R535" s="105" t="s">
        <v>243</v>
      </c>
      <c r="S535" s="105" t="s">
        <v>243</v>
      </c>
      <c r="T535" s="105" t="s">
        <v>244</v>
      </c>
      <c r="U535" s="105" t="s">
        <v>74</v>
      </c>
      <c r="V535" s="105" t="s">
        <v>378</v>
      </c>
      <c r="W535" s="105" t="s">
        <v>107</v>
      </c>
      <c r="X535" s="105" t="s">
        <v>111</v>
      </c>
      <c r="Y535" s="105" t="s">
        <v>167</v>
      </c>
      <c r="Z535" s="105" t="s">
        <v>151</v>
      </c>
      <c r="AA535" s="105" t="s">
        <v>490</v>
      </c>
    </row>
    <row r="536" spans="2:27" x14ac:dyDescent="0.2">
      <c r="C536" s="105" t="s">
        <v>776</v>
      </c>
      <c r="D536" s="105">
        <v>34.9</v>
      </c>
      <c r="E536" s="105" t="s">
        <v>517</v>
      </c>
      <c r="F536" s="105" t="s">
        <v>518</v>
      </c>
      <c r="G536" s="105" t="s">
        <v>265</v>
      </c>
      <c r="H536" s="105" t="s">
        <v>519</v>
      </c>
      <c r="I536" s="105" t="s">
        <v>520</v>
      </c>
      <c r="J536" s="105" t="s">
        <v>521</v>
      </c>
      <c r="K536" s="105" t="s">
        <v>95</v>
      </c>
      <c r="L536" s="105" t="s">
        <v>96</v>
      </c>
      <c r="M536" s="105" t="s">
        <v>96</v>
      </c>
      <c r="N536" s="105" t="s">
        <v>96</v>
      </c>
      <c r="O536" s="105" t="s">
        <v>96</v>
      </c>
      <c r="P536" s="105" t="s">
        <v>97</v>
      </c>
      <c r="Q536" s="105" t="s">
        <v>98</v>
      </c>
      <c r="R536" s="105" t="s">
        <v>82</v>
      </c>
      <c r="S536" s="105" t="s">
        <v>81</v>
      </c>
      <c r="T536" s="105" t="s">
        <v>86</v>
      </c>
      <c r="U536" s="105" t="s">
        <v>88</v>
      </c>
      <c r="V536" s="105" t="s">
        <v>69</v>
      </c>
      <c r="W536" s="105" t="s">
        <v>342</v>
      </c>
      <c r="X536" s="105" t="s">
        <v>130</v>
      </c>
      <c r="Y536" s="105" t="s">
        <v>401</v>
      </c>
      <c r="Z536" s="105" t="s">
        <v>171</v>
      </c>
      <c r="AA536" s="105" t="s">
        <v>519</v>
      </c>
    </row>
    <row r="538" spans="2:27" x14ac:dyDescent="0.2">
      <c r="D538" s="105" t="s">
        <v>47</v>
      </c>
      <c r="E538" s="105" t="s">
        <v>48</v>
      </c>
      <c r="F538" s="105" t="s">
        <v>49</v>
      </c>
      <c r="G538" s="105" t="s">
        <v>50</v>
      </c>
      <c r="H538" s="105" t="s">
        <v>51</v>
      </c>
      <c r="I538" s="105" t="s">
        <v>52</v>
      </c>
      <c r="J538" s="105" t="s">
        <v>53</v>
      </c>
      <c r="K538" s="105">
        <v>0.01</v>
      </c>
      <c r="L538" s="105">
        <v>0.05</v>
      </c>
      <c r="M538" s="105">
        <v>0.1</v>
      </c>
      <c r="N538" s="105">
        <v>0.2</v>
      </c>
      <c r="O538" s="105">
        <v>0.3</v>
      </c>
      <c r="P538" s="105">
        <v>0.4</v>
      </c>
      <c r="Q538" s="105">
        <v>0.5</v>
      </c>
      <c r="R538" s="105">
        <v>0.6</v>
      </c>
      <c r="S538" s="105">
        <v>0.7</v>
      </c>
      <c r="T538" s="105">
        <v>0.8</v>
      </c>
      <c r="U538" s="105">
        <v>0.9</v>
      </c>
      <c r="V538" s="105">
        <v>0.95</v>
      </c>
      <c r="W538" s="105">
        <v>0.99</v>
      </c>
      <c r="X538" s="105">
        <v>0.995</v>
      </c>
      <c r="Y538" s="105">
        <v>0.999</v>
      </c>
      <c r="Z538" s="105">
        <v>0.99950000000000006</v>
      </c>
      <c r="AA538" s="105">
        <v>0.99990000000000001</v>
      </c>
    </row>
    <row r="539" spans="2:27" x14ac:dyDescent="0.2">
      <c r="B539" s="105" t="s">
        <v>812</v>
      </c>
      <c r="C539" s="105" t="s">
        <v>772</v>
      </c>
      <c r="D539" s="105">
        <v>50.4</v>
      </c>
      <c r="E539" s="105" t="s">
        <v>629</v>
      </c>
      <c r="F539" s="105" t="s">
        <v>630</v>
      </c>
      <c r="G539" s="105" t="s">
        <v>250</v>
      </c>
      <c r="H539" s="105" t="s">
        <v>631</v>
      </c>
      <c r="I539" s="105" t="s">
        <v>632</v>
      </c>
      <c r="J539" s="105" t="s">
        <v>633</v>
      </c>
      <c r="K539" s="105" t="s">
        <v>98</v>
      </c>
      <c r="L539" s="105" t="s">
        <v>68</v>
      </c>
      <c r="M539" s="105" t="s">
        <v>88</v>
      </c>
      <c r="N539" s="105" t="s">
        <v>252</v>
      </c>
      <c r="O539" s="105" t="s">
        <v>69</v>
      </c>
      <c r="P539" s="105" t="s">
        <v>456</v>
      </c>
      <c r="Q539" s="105" t="s">
        <v>73</v>
      </c>
      <c r="R539" s="105" t="s">
        <v>301</v>
      </c>
      <c r="S539" s="105" t="s">
        <v>233</v>
      </c>
      <c r="T539" s="105" t="s">
        <v>181</v>
      </c>
      <c r="U539" s="105" t="s">
        <v>114</v>
      </c>
      <c r="V539" s="105" t="s">
        <v>166</v>
      </c>
      <c r="W539" s="105" t="s">
        <v>342</v>
      </c>
      <c r="X539" s="105" t="s">
        <v>327</v>
      </c>
      <c r="Y539" s="105" t="s">
        <v>196</v>
      </c>
      <c r="Z539" s="105" t="s">
        <v>527</v>
      </c>
      <c r="AA539" s="105" t="s">
        <v>634</v>
      </c>
    </row>
    <row r="540" spans="2:27" x14ac:dyDescent="0.2">
      <c r="C540" s="105" t="s">
        <v>773</v>
      </c>
      <c r="D540" s="105">
        <v>53.552605459057077</v>
      </c>
      <c r="E540" s="105">
        <v>1673</v>
      </c>
    </row>
    <row r="541" spans="2:27" x14ac:dyDescent="0.2">
      <c r="C541" s="105" t="s">
        <v>774</v>
      </c>
      <c r="D541" s="105">
        <v>22.654112717235002</v>
      </c>
      <c r="E541" s="105">
        <v>707.4915360501567</v>
      </c>
    </row>
    <row r="542" spans="2:27" x14ac:dyDescent="0.2">
      <c r="C542" s="105" t="s">
        <v>775</v>
      </c>
      <c r="D542" s="105">
        <v>29.709090909090907</v>
      </c>
      <c r="E542" s="105">
        <v>928.12121212121212</v>
      </c>
    </row>
    <row r="543" spans="2:27" x14ac:dyDescent="0.2">
      <c r="C543" s="105" t="s">
        <v>776</v>
      </c>
      <c r="D543" s="105">
        <v>38.700000000000003</v>
      </c>
      <c r="E543" s="105">
        <v>1209</v>
      </c>
    </row>
    <row r="545" spans="2:27" x14ac:dyDescent="0.2">
      <c r="D545" s="105" t="s">
        <v>47</v>
      </c>
      <c r="E545" s="105" t="s">
        <v>48</v>
      </c>
      <c r="F545" s="105" t="s">
        <v>49</v>
      </c>
      <c r="G545" s="105" t="s">
        <v>50</v>
      </c>
      <c r="H545" s="105" t="s">
        <v>51</v>
      </c>
      <c r="I545" s="105" t="s">
        <v>52</v>
      </c>
      <c r="J545" s="105" t="s">
        <v>53</v>
      </c>
      <c r="K545" s="105">
        <v>0.01</v>
      </c>
      <c r="L545" s="105">
        <v>0.05</v>
      </c>
      <c r="M545" s="105">
        <v>0.1</v>
      </c>
      <c r="N545" s="105">
        <v>0.2</v>
      </c>
      <c r="O545" s="105">
        <v>0.3</v>
      </c>
      <c r="P545" s="105">
        <v>0.4</v>
      </c>
      <c r="Q545" s="105">
        <v>0.5</v>
      </c>
      <c r="R545" s="105">
        <v>0.6</v>
      </c>
      <c r="S545" s="105">
        <v>0.7</v>
      </c>
      <c r="T545" s="105">
        <v>0.8</v>
      </c>
      <c r="U545" s="105">
        <v>0.9</v>
      </c>
      <c r="V545" s="105">
        <v>0.95</v>
      </c>
      <c r="W545" s="105">
        <v>0.99</v>
      </c>
      <c r="X545" s="105">
        <v>0.995</v>
      </c>
      <c r="Y545" s="105">
        <v>0.999</v>
      </c>
      <c r="Z545" s="105">
        <v>0.99950000000000006</v>
      </c>
      <c r="AA545" s="105">
        <v>0.99990000000000001</v>
      </c>
    </row>
    <row r="546" spans="2:27" x14ac:dyDescent="0.2">
      <c r="B546" s="105" t="s">
        <v>813</v>
      </c>
      <c r="C546" s="105" t="s">
        <v>772</v>
      </c>
      <c r="D546" s="105" t="s">
        <v>223</v>
      </c>
      <c r="E546" s="105" t="s">
        <v>614</v>
      </c>
      <c r="F546" s="105" t="s">
        <v>615</v>
      </c>
      <c r="G546" s="105" t="s">
        <v>93</v>
      </c>
      <c r="H546" s="105" t="s">
        <v>616</v>
      </c>
      <c r="I546" s="105" t="s">
        <v>617</v>
      </c>
      <c r="J546" s="105" t="s">
        <v>618</v>
      </c>
      <c r="K546" s="105" t="s">
        <v>86</v>
      </c>
      <c r="L546" s="105" t="s">
        <v>69</v>
      </c>
      <c r="M546" s="105" t="s">
        <v>255</v>
      </c>
      <c r="N546" s="105" t="s">
        <v>307</v>
      </c>
      <c r="O546" s="105" t="s">
        <v>76</v>
      </c>
      <c r="P546" s="105" t="s">
        <v>109</v>
      </c>
      <c r="Q546" s="105" t="s">
        <v>145</v>
      </c>
      <c r="R546" s="105" t="s">
        <v>148</v>
      </c>
      <c r="S546" s="105" t="s">
        <v>218</v>
      </c>
      <c r="T546" s="105" t="s">
        <v>127</v>
      </c>
      <c r="U546" s="105" t="s">
        <v>153</v>
      </c>
      <c r="V546" s="105" t="s">
        <v>278</v>
      </c>
      <c r="W546" s="105" t="s">
        <v>417</v>
      </c>
      <c r="X546" s="105" t="s">
        <v>484</v>
      </c>
      <c r="Y546" s="105" t="s">
        <v>619</v>
      </c>
      <c r="Z546" s="105" t="s">
        <v>324</v>
      </c>
      <c r="AA546" s="105" t="s">
        <v>620</v>
      </c>
    </row>
    <row r="547" spans="2:27" x14ac:dyDescent="0.2">
      <c r="C547" s="105" t="s">
        <v>773</v>
      </c>
      <c r="D547" s="105">
        <v>60.76073407202216</v>
      </c>
      <c r="E547" s="105">
        <v>1895</v>
      </c>
    </row>
    <row r="548" spans="2:27" x14ac:dyDescent="0.2">
      <c r="C548" s="105" t="s">
        <v>774</v>
      </c>
      <c r="D548" s="105">
        <v>30.005057973118539</v>
      </c>
      <c r="E548" s="105">
        <v>937.12225705329161</v>
      </c>
    </row>
    <row r="549" spans="2:27" x14ac:dyDescent="0.2">
      <c r="C549" s="105" t="s">
        <v>775</v>
      </c>
      <c r="D549" s="105">
        <v>35.543434343434335</v>
      </c>
      <c r="E549" s="105">
        <v>1108.5252525252524</v>
      </c>
    </row>
    <row r="550" spans="2:27" x14ac:dyDescent="0.2">
      <c r="C550" s="105" t="s">
        <v>776</v>
      </c>
      <c r="D550" s="105">
        <v>46.3</v>
      </c>
      <c r="E550" s="105">
        <v>1444</v>
      </c>
    </row>
    <row r="552" spans="2:27" x14ac:dyDescent="0.2">
      <c r="D552" s="105" t="s">
        <v>47</v>
      </c>
      <c r="E552" s="105" t="s">
        <v>48</v>
      </c>
      <c r="F552" s="105" t="s">
        <v>49</v>
      </c>
      <c r="G552" s="105" t="s">
        <v>50</v>
      </c>
      <c r="H552" s="105" t="s">
        <v>51</v>
      </c>
      <c r="I552" s="105" t="s">
        <v>52</v>
      </c>
      <c r="J552" s="105" t="s">
        <v>53</v>
      </c>
      <c r="K552" s="105">
        <v>0.01</v>
      </c>
      <c r="L552" s="105">
        <v>0.05</v>
      </c>
      <c r="M552" s="105">
        <v>0.1</v>
      </c>
      <c r="N552" s="105">
        <v>0.2</v>
      </c>
      <c r="O552" s="105">
        <v>0.3</v>
      </c>
      <c r="P552" s="105">
        <v>0.4</v>
      </c>
      <c r="Q552" s="105">
        <v>0.5</v>
      </c>
      <c r="R552" s="105">
        <v>0.6</v>
      </c>
      <c r="S552" s="105">
        <v>0.7</v>
      </c>
      <c r="T552" s="105">
        <v>0.8</v>
      </c>
      <c r="U552" s="105">
        <v>0.9</v>
      </c>
      <c r="V552" s="105">
        <v>0.95</v>
      </c>
      <c r="W552" s="105">
        <v>0.99</v>
      </c>
      <c r="X552" s="105">
        <v>0.995</v>
      </c>
      <c r="Y552" s="105">
        <v>0.999</v>
      </c>
      <c r="Z552" s="105">
        <v>0.99950000000000006</v>
      </c>
      <c r="AA552" s="105">
        <v>0.99990000000000001</v>
      </c>
    </row>
    <row r="553" spans="2:27" x14ac:dyDescent="0.2">
      <c r="B553" s="105" t="s">
        <v>814</v>
      </c>
      <c r="C553" s="105" t="s">
        <v>772</v>
      </c>
      <c r="D553" s="105">
        <v>64.3</v>
      </c>
      <c r="E553" s="105" t="s">
        <v>621</v>
      </c>
      <c r="F553" s="105" t="s">
        <v>622</v>
      </c>
      <c r="G553" s="105" t="s">
        <v>452</v>
      </c>
      <c r="H553" s="105" t="s">
        <v>623</v>
      </c>
      <c r="I553" s="105" t="s">
        <v>624</v>
      </c>
      <c r="J553" s="105" t="s">
        <v>625</v>
      </c>
      <c r="K553" s="105" t="s">
        <v>242</v>
      </c>
      <c r="L553" s="105" t="s">
        <v>255</v>
      </c>
      <c r="M553" s="105" t="s">
        <v>378</v>
      </c>
      <c r="N553" s="105" t="s">
        <v>76</v>
      </c>
      <c r="O553" s="105" t="s">
        <v>111</v>
      </c>
      <c r="P553" s="105" t="s">
        <v>114</v>
      </c>
      <c r="Q553" s="105" t="s">
        <v>165</v>
      </c>
      <c r="R553" s="105" t="s">
        <v>218</v>
      </c>
      <c r="S553" s="105" t="s">
        <v>182</v>
      </c>
      <c r="T553" s="105" t="s">
        <v>238</v>
      </c>
      <c r="U553" s="105" t="s">
        <v>135</v>
      </c>
      <c r="V553" s="105" t="s">
        <v>352</v>
      </c>
      <c r="W553" s="105" t="s">
        <v>280</v>
      </c>
      <c r="X553" s="105" t="s">
        <v>626</v>
      </c>
      <c r="Y553" s="105" t="s">
        <v>371</v>
      </c>
      <c r="Z553" s="105" t="s">
        <v>627</v>
      </c>
      <c r="AA553" s="105" t="s">
        <v>628</v>
      </c>
    </row>
    <row r="554" spans="2:27" x14ac:dyDescent="0.2">
      <c r="C554" s="105" t="s">
        <v>773</v>
      </c>
      <c r="D554" s="105">
        <v>72.644251626898054</v>
      </c>
      <c r="E554" s="105">
        <v>2196</v>
      </c>
    </row>
    <row r="555" spans="2:27" x14ac:dyDescent="0.2">
      <c r="C555" s="105" t="s">
        <v>774</v>
      </c>
      <c r="D555" s="105">
        <v>31.428693876531486</v>
      </c>
      <c r="E555" s="105">
        <v>981.47460815047009</v>
      </c>
    </row>
    <row r="556" spans="2:27" x14ac:dyDescent="0.2">
      <c r="C556" s="105" t="s">
        <v>775</v>
      </c>
      <c r="D556" s="105">
        <v>46.828282828282831</v>
      </c>
      <c r="E556" s="105">
        <v>1415.5959595959596</v>
      </c>
    </row>
    <row r="557" spans="2:27" x14ac:dyDescent="0.2">
      <c r="C557" s="105" t="s">
        <v>776</v>
      </c>
      <c r="D557" s="105">
        <v>61</v>
      </c>
      <c r="E557" s="105">
        <v>1844</v>
      </c>
    </row>
    <row r="716" s="105" customFormat="1" x14ac:dyDescent="0.2"/>
    <row r="717" s="105" customFormat="1" x14ac:dyDescent="0.2"/>
    <row r="718" s="105" customFormat="1" x14ac:dyDescent="0.2"/>
    <row r="719" s="105" customFormat="1" x14ac:dyDescent="0.2"/>
    <row r="720" s="105" customFormat="1" x14ac:dyDescent="0.2"/>
    <row r="721" s="105" customFormat="1" x14ac:dyDescent="0.2"/>
    <row r="722" s="105" customFormat="1" x14ac:dyDescent="0.2"/>
    <row r="723" s="105" customFormat="1" x14ac:dyDescent="0.2"/>
    <row r="724" s="105" customFormat="1" x14ac:dyDescent="0.2"/>
    <row r="725" s="105" customFormat="1" x14ac:dyDescent="0.2"/>
    <row r="726" s="105" customFormat="1" x14ac:dyDescent="0.2"/>
    <row r="727" s="105" customFormat="1" x14ac:dyDescent="0.2"/>
    <row r="728" s="105" customFormat="1" x14ac:dyDescent="0.2"/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D864B2-B37A-4705-BF20-6F6C5EACBC4A}">
  <dimension ref="A1:Y15"/>
  <sheetViews>
    <sheetView workbookViewId="0">
      <selection activeCell="C25" sqref="C25"/>
    </sheetView>
  </sheetViews>
  <sheetFormatPr defaultRowHeight="14.25" x14ac:dyDescent="0.2"/>
  <sheetData>
    <row r="1" spans="1:25" x14ac:dyDescent="0.2">
      <c r="A1" s="114">
        <v>1</v>
      </c>
      <c r="B1" s="10">
        <v>192</v>
      </c>
      <c r="C1" s="10" t="s">
        <v>642</v>
      </c>
      <c r="D1" s="10" t="s">
        <v>643</v>
      </c>
      <c r="E1" s="10" t="s">
        <v>644</v>
      </c>
      <c r="F1" s="10" t="s">
        <v>645</v>
      </c>
      <c r="G1" s="10" t="s">
        <v>646</v>
      </c>
      <c r="H1" s="10" t="s">
        <v>647</v>
      </c>
      <c r="I1" s="10" t="s">
        <v>648</v>
      </c>
      <c r="J1" s="10" t="s">
        <v>604</v>
      </c>
      <c r="K1" s="10" t="s">
        <v>649</v>
      </c>
      <c r="L1" s="10" t="s">
        <v>650</v>
      </c>
      <c r="M1" s="10" t="s">
        <v>651</v>
      </c>
      <c r="N1" s="10" t="s">
        <v>652</v>
      </c>
      <c r="O1" s="10" t="s">
        <v>653</v>
      </c>
      <c r="P1" s="10" t="s">
        <v>654</v>
      </c>
      <c r="Q1" s="10" t="s">
        <v>655</v>
      </c>
      <c r="R1" s="10" t="s">
        <v>656</v>
      </c>
      <c r="S1" s="10" t="s">
        <v>503</v>
      </c>
      <c r="T1" s="10" t="s">
        <v>640</v>
      </c>
      <c r="U1" s="10" t="s">
        <v>657</v>
      </c>
      <c r="V1" s="10" t="s">
        <v>641</v>
      </c>
      <c r="W1" s="10" t="s">
        <v>641</v>
      </c>
      <c r="X1" s="10" t="s">
        <v>641</v>
      </c>
      <c r="Y1" s="10" t="s">
        <v>641</v>
      </c>
    </row>
    <row r="2" spans="1:25" x14ac:dyDescent="0.2">
      <c r="A2" s="114"/>
      <c r="B2" s="10" t="s">
        <v>547</v>
      </c>
      <c r="C2" s="10" t="s">
        <v>658</v>
      </c>
      <c r="D2" s="10" t="s">
        <v>659</v>
      </c>
      <c r="E2" s="10" t="s">
        <v>660</v>
      </c>
      <c r="F2" s="10" t="s">
        <v>661</v>
      </c>
      <c r="G2" s="10" t="s">
        <v>662</v>
      </c>
      <c r="H2" s="10" t="s">
        <v>663</v>
      </c>
      <c r="I2" s="10" t="s">
        <v>135</v>
      </c>
      <c r="J2" s="10" t="s">
        <v>264</v>
      </c>
      <c r="K2" s="10" t="s">
        <v>264</v>
      </c>
      <c r="L2" s="10" t="s">
        <v>196</v>
      </c>
      <c r="M2" s="10" t="s">
        <v>322</v>
      </c>
      <c r="N2" s="10" t="s">
        <v>228</v>
      </c>
      <c r="O2" s="10" t="s">
        <v>527</v>
      </c>
      <c r="P2" s="10" t="s">
        <v>463</v>
      </c>
      <c r="Q2" s="10" t="s">
        <v>279</v>
      </c>
      <c r="R2" s="10" t="s">
        <v>369</v>
      </c>
      <c r="S2" s="10" t="s">
        <v>99</v>
      </c>
      <c r="T2" s="10" t="s">
        <v>136</v>
      </c>
      <c r="U2" s="10" t="s">
        <v>136</v>
      </c>
      <c r="V2" s="10" t="s">
        <v>136</v>
      </c>
      <c r="W2" s="10" t="s">
        <v>136</v>
      </c>
      <c r="X2" s="10" t="s">
        <v>136</v>
      </c>
      <c r="Y2" s="10" t="s">
        <v>136</v>
      </c>
    </row>
    <row r="3" spans="1:25" x14ac:dyDescent="0.2">
      <c r="B3">
        <f>B1/B2</f>
        <v>0.61146496815286622</v>
      </c>
      <c r="C3">
        <f t="shared" ref="C3:Y3" si="0">C1/C2</f>
        <v>0.61195928753180673</v>
      </c>
      <c r="D3">
        <f t="shared" si="0"/>
        <v>0.61286407766990292</v>
      </c>
      <c r="E3">
        <f t="shared" si="0"/>
        <v>2.9327731092436973</v>
      </c>
      <c r="F3">
        <f t="shared" si="0"/>
        <v>1.9996736292428199</v>
      </c>
      <c r="G3">
        <f t="shared" si="0"/>
        <v>1.6349197835654903</v>
      </c>
      <c r="H3">
        <f t="shared" si="0"/>
        <v>1.5769204225658118</v>
      </c>
      <c r="I3">
        <f t="shared" si="0"/>
        <v>2.8489208633093526</v>
      </c>
      <c r="J3">
        <f t="shared" si="0"/>
        <v>2.8811188811188813</v>
      </c>
      <c r="K3">
        <f t="shared" si="0"/>
        <v>2.965034965034965</v>
      </c>
      <c r="L3">
        <f t="shared" si="0"/>
        <v>2.9862068965517241</v>
      </c>
      <c r="M3">
        <f t="shared" si="0"/>
        <v>3.0272108843537415</v>
      </c>
      <c r="N3">
        <f t="shared" si="0"/>
        <v>3.052980132450331</v>
      </c>
      <c r="O3">
        <f t="shared" si="0"/>
        <v>2.9872611464968153</v>
      </c>
      <c r="P3">
        <f t="shared" si="0"/>
        <v>2.9440993788819876</v>
      </c>
      <c r="Q3">
        <f t="shared" si="0"/>
        <v>2.896969696969697</v>
      </c>
      <c r="R3">
        <f t="shared" si="0"/>
        <v>2.7931034482758621</v>
      </c>
      <c r="S3">
        <f t="shared" si="0"/>
        <v>2.7606382978723403</v>
      </c>
      <c r="T3">
        <f t="shared" si="0"/>
        <v>1.4866485791803512</v>
      </c>
      <c r="U3">
        <f t="shared" si="0"/>
        <v>1.6363803267987189</v>
      </c>
      <c r="V3">
        <f t="shared" si="0"/>
        <v>2</v>
      </c>
      <c r="W3">
        <f t="shared" si="0"/>
        <v>2</v>
      </c>
      <c r="X3">
        <f t="shared" si="0"/>
        <v>2</v>
      </c>
      <c r="Y3">
        <f t="shared" si="0"/>
        <v>2</v>
      </c>
    </row>
    <row r="5" spans="1:25" x14ac:dyDescent="0.2">
      <c r="A5" s="114">
        <v>4</v>
      </c>
      <c r="B5" s="10" t="s">
        <v>664</v>
      </c>
      <c r="C5" s="10" t="s">
        <v>665</v>
      </c>
      <c r="D5" s="10" t="s">
        <v>666</v>
      </c>
      <c r="E5" s="10" t="s">
        <v>667</v>
      </c>
      <c r="F5" s="10" t="s">
        <v>668</v>
      </c>
      <c r="G5" s="10" t="s">
        <v>669</v>
      </c>
      <c r="H5" s="10" t="s">
        <v>670</v>
      </c>
      <c r="I5" s="10" t="s">
        <v>372</v>
      </c>
      <c r="J5" s="10" t="s">
        <v>655</v>
      </c>
      <c r="K5" s="10" t="s">
        <v>671</v>
      </c>
      <c r="L5" s="10" t="s">
        <v>672</v>
      </c>
      <c r="M5" s="10" t="s">
        <v>79</v>
      </c>
      <c r="N5" s="10" t="s">
        <v>80</v>
      </c>
      <c r="O5" s="10" t="s">
        <v>80</v>
      </c>
      <c r="P5" s="10" t="s">
        <v>80</v>
      </c>
      <c r="Q5" s="10" t="s">
        <v>80</v>
      </c>
      <c r="R5" s="10" t="s">
        <v>80</v>
      </c>
      <c r="S5" s="10" t="s">
        <v>673</v>
      </c>
      <c r="T5" s="10" t="s">
        <v>674</v>
      </c>
      <c r="U5" s="10" t="s">
        <v>640</v>
      </c>
      <c r="V5" s="10" t="s">
        <v>675</v>
      </c>
      <c r="W5" s="10" t="s">
        <v>676</v>
      </c>
      <c r="X5" s="10" t="s">
        <v>677</v>
      </c>
      <c r="Y5" s="10" t="s">
        <v>678</v>
      </c>
    </row>
    <row r="6" spans="1:25" x14ac:dyDescent="0.2">
      <c r="A6" s="114"/>
      <c r="B6" s="10" t="s">
        <v>679</v>
      </c>
      <c r="C6" s="10" t="s">
        <v>680</v>
      </c>
      <c r="D6" s="10" t="s">
        <v>681</v>
      </c>
      <c r="E6" s="10" t="s">
        <v>134</v>
      </c>
      <c r="F6" s="10" t="s">
        <v>682</v>
      </c>
      <c r="G6" s="10" t="s">
        <v>683</v>
      </c>
      <c r="H6" s="10" t="s">
        <v>684</v>
      </c>
      <c r="I6" s="10" t="s">
        <v>639</v>
      </c>
      <c r="J6" s="10" t="s">
        <v>561</v>
      </c>
      <c r="K6" s="10" t="s">
        <v>170</v>
      </c>
      <c r="L6" s="10" t="s">
        <v>135</v>
      </c>
      <c r="M6" s="10" t="s">
        <v>476</v>
      </c>
      <c r="N6" s="10" t="s">
        <v>196</v>
      </c>
      <c r="O6" s="10" t="s">
        <v>322</v>
      </c>
      <c r="P6" s="10" t="s">
        <v>430</v>
      </c>
      <c r="Q6" s="10" t="s">
        <v>463</v>
      </c>
      <c r="R6" s="10" t="s">
        <v>369</v>
      </c>
      <c r="S6" s="10" t="s">
        <v>685</v>
      </c>
      <c r="T6" s="10" t="s">
        <v>686</v>
      </c>
      <c r="U6" s="10" t="s">
        <v>687</v>
      </c>
      <c r="V6" s="10" t="s">
        <v>688</v>
      </c>
      <c r="W6" s="10" t="s">
        <v>689</v>
      </c>
      <c r="X6" s="10" t="s">
        <v>689</v>
      </c>
      <c r="Y6" s="10" t="s">
        <v>690</v>
      </c>
    </row>
    <row r="7" spans="1:25" x14ac:dyDescent="0.2">
      <c r="B7">
        <f>B5/B6</f>
        <v>1.1554878048780488</v>
      </c>
      <c r="C7">
        <f t="shared" ref="C7:Y7" si="1">C5/C6</f>
        <v>1.1546894031668697</v>
      </c>
      <c r="D7">
        <f t="shared" si="1"/>
        <v>1.1544715447154472</v>
      </c>
      <c r="E7">
        <f t="shared" si="1"/>
        <v>3.1825396825396823</v>
      </c>
      <c r="F7">
        <f t="shared" si="1"/>
        <v>1.1580108329220946</v>
      </c>
      <c r="G7">
        <f t="shared" si="1"/>
        <v>0.93601476262007532</v>
      </c>
      <c r="H7">
        <f t="shared" si="1"/>
        <v>0.30306945548744518</v>
      </c>
      <c r="I7">
        <f t="shared" si="1"/>
        <v>3.3664122137404582</v>
      </c>
      <c r="J7">
        <f t="shared" si="1"/>
        <v>3.5939849624060152</v>
      </c>
      <c r="K7">
        <f t="shared" si="1"/>
        <v>3.6592592592592594</v>
      </c>
      <c r="L7">
        <f t="shared" si="1"/>
        <v>4.6330935251798557</v>
      </c>
      <c r="M7">
        <f t="shared" si="1"/>
        <v>86.921985815602838</v>
      </c>
      <c r="N7">
        <f t="shared" si="1"/>
        <v>85.427586206896549</v>
      </c>
      <c r="O7">
        <f t="shared" si="1"/>
        <v>84.265306122448976</v>
      </c>
      <c r="P7">
        <f t="shared" si="1"/>
        <v>80.960784313725483</v>
      </c>
      <c r="Q7">
        <f t="shared" si="1"/>
        <v>76.937888198757761</v>
      </c>
      <c r="R7">
        <f t="shared" si="1"/>
        <v>71.189655172413794</v>
      </c>
      <c r="S7">
        <f t="shared" si="1"/>
        <v>0.53278859382165344</v>
      </c>
      <c r="T7">
        <f t="shared" si="1"/>
        <v>0.12134350576851508</v>
      </c>
      <c r="U7">
        <f t="shared" si="1"/>
        <v>0.50000343046112261</v>
      </c>
      <c r="V7">
        <f t="shared" si="1"/>
        <v>0.48620793980689803</v>
      </c>
      <c r="W7">
        <f t="shared" si="1"/>
        <v>0.65436705538985396</v>
      </c>
      <c r="X7">
        <f t="shared" si="1"/>
        <v>0.70134666342375096</v>
      </c>
      <c r="Y7">
        <f t="shared" si="1"/>
        <v>0.96273567861818143</v>
      </c>
    </row>
    <row r="9" spans="1:25" x14ac:dyDescent="0.2">
      <c r="A9" s="114">
        <v>8</v>
      </c>
      <c r="B9" s="10" t="s">
        <v>691</v>
      </c>
      <c r="C9" s="10" t="s">
        <v>692</v>
      </c>
      <c r="D9" s="10" t="s">
        <v>693</v>
      </c>
      <c r="E9" s="10" t="s">
        <v>694</v>
      </c>
      <c r="F9" s="10" t="s">
        <v>695</v>
      </c>
      <c r="G9" s="10" t="s">
        <v>696</v>
      </c>
      <c r="H9" s="10" t="s">
        <v>697</v>
      </c>
      <c r="I9" s="10" t="s">
        <v>698</v>
      </c>
      <c r="J9" s="10" t="s">
        <v>650</v>
      </c>
      <c r="K9" s="10" t="s">
        <v>651</v>
      </c>
      <c r="L9" s="10" t="s">
        <v>653</v>
      </c>
      <c r="M9" s="10" t="s">
        <v>656</v>
      </c>
      <c r="N9" s="10" t="s">
        <v>699</v>
      </c>
      <c r="O9" s="10" t="s">
        <v>492</v>
      </c>
      <c r="P9" s="10" t="s">
        <v>382</v>
      </c>
      <c r="Q9" s="10" t="s">
        <v>473</v>
      </c>
      <c r="R9" s="10" t="s">
        <v>700</v>
      </c>
      <c r="S9" s="10" t="s">
        <v>79</v>
      </c>
      <c r="T9" s="10" t="s">
        <v>640</v>
      </c>
      <c r="U9" s="10" t="s">
        <v>676</v>
      </c>
      <c r="V9" s="10" t="s">
        <v>701</v>
      </c>
      <c r="W9" s="10" t="s">
        <v>702</v>
      </c>
      <c r="X9" s="10" t="s">
        <v>678</v>
      </c>
      <c r="Y9" s="10" t="s">
        <v>703</v>
      </c>
    </row>
    <row r="10" spans="1:25" x14ac:dyDescent="0.2">
      <c r="A10" s="114"/>
      <c r="B10" s="10" t="s">
        <v>679</v>
      </c>
      <c r="C10" s="10" t="s">
        <v>680</v>
      </c>
      <c r="D10" s="10" t="s">
        <v>681</v>
      </c>
      <c r="E10" s="10" t="s">
        <v>134</v>
      </c>
      <c r="F10" s="10" t="s">
        <v>682</v>
      </c>
      <c r="G10" s="10" t="s">
        <v>683</v>
      </c>
      <c r="H10" s="10" t="s">
        <v>684</v>
      </c>
      <c r="I10" s="10" t="s">
        <v>639</v>
      </c>
      <c r="J10" s="10" t="s">
        <v>561</v>
      </c>
      <c r="K10" s="10" t="s">
        <v>170</v>
      </c>
      <c r="L10" s="10" t="s">
        <v>135</v>
      </c>
      <c r="M10" s="10" t="s">
        <v>476</v>
      </c>
      <c r="N10" s="10" t="s">
        <v>196</v>
      </c>
      <c r="O10" s="10" t="s">
        <v>322</v>
      </c>
      <c r="P10" s="10" t="s">
        <v>430</v>
      </c>
      <c r="Q10" s="10" t="s">
        <v>463</v>
      </c>
      <c r="R10" s="10" t="s">
        <v>369</v>
      </c>
      <c r="S10" s="10" t="s">
        <v>685</v>
      </c>
      <c r="T10" s="10" t="s">
        <v>686</v>
      </c>
      <c r="U10" s="10" t="s">
        <v>687</v>
      </c>
      <c r="V10" s="10" t="s">
        <v>688</v>
      </c>
      <c r="W10" s="10" t="s">
        <v>689</v>
      </c>
      <c r="X10" s="10" t="s">
        <v>689</v>
      </c>
      <c r="Y10" s="10" t="s">
        <v>690</v>
      </c>
    </row>
    <row r="11" spans="1:25" x14ac:dyDescent="0.2">
      <c r="B11">
        <f>B9/B6</f>
        <v>1.6067073170731707</v>
      </c>
      <c r="C11">
        <f t="shared" ref="C11:Y11" si="2">C9/C6</f>
        <v>1.607795371498173</v>
      </c>
      <c r="D11">
        <f t="shared" si="2"/>
        <v>1.6027874564459932</v>
      </c>
      <c r="E11">
        <f t="shared" si="2"/>
        <v>2.9920634920634921</v>
      </c>
      <c r="F11">
        <f t="shared" si="2"/>
        <v>1.2019311378135573</v>
      </c>
      <c r="G11">
        <f t="shared" si="2"/>
        <v>0.60759626624508445</v>
      </c>
      <c r="H11">
        <f t="shared" si="2"/>
        <v>0.64248715838266734</v>
      </c>
      <c r="I11">
        <f t="shared" si="2"/>
        <v>3.114503816793893</v>
      </c>
      <c r="J11">
        <f t="shared" si="2"/>
        <v>3.255639097744361</v>
      </c>
      <c r="K11">
        <f t="shared" si="2"/>
        <v>3.2962962962962963</v>
      </c>
      <c r="L11">
        <f t="shared" si="2"/>
        <v>3.3741007194244603</v>
      </c>
      <c r="M11">
        <f t="shared" si="2"/>
        <v>3.4468085106382977</v>
      </c>
      <c r="N11">
        <f t="shared" si="2"/>
        <v>3.4344827586206899</v>
      </c>
      <c r="O11">
        <f t="shared" si="2"/>
        <v>3.4693877551020407</v>
      </c>
      <c r="P11">
        <f t="shared" si="2"/>
        <v>3.4575163398692812</v>
      </c>
      <c r="Q11">
        <f t="shared" si="2"/>
        <v>3.639751552795031</v>
      </c>
      <c r="R11">
        <f t="shared" si="2"/>
        <v>5.2068965517241379</v>
      </c>
      <c r="S11">
        <f t="shared" si="2"/>
        <v>0.51094342768999879</v>
      </c>
      <c r="T11">
        <f t="shared" si="2"/>
        <v>0.67805173055452173</v>
      </c>
      <c r="U11">
        <f t="shared" si="2"/>
        <v>0.70144010757926079</v>
      </c>
      <c r="V11">
        <f t="shared" si="2"/>
        <v>0.91724106179790066</v>
      </c>
      <c r="W11">
        <f t="shared" si="2"/>
        <v>1.026850062084768</v>
      </c>
      <c r="X11">
        <f t="shared" si="2"/>
        <v>1.0402718928813732</v>
      </c>
      <c r="Y11">
        <f t="shared" si="2"/>
        <v>1.0124214404606062</v>
      </c>
    </row>
    <row r="13" spans="1:25" x14ac:dyDescent="0.2">
      <c r="A13" s="114">
        <v>16</v>
      </c>
      <c r="B13" s="10" t="s">
        <v>704</v>
      </c>
      <c r="C13" s="10" t="s">
        <v>161</v>
      </c>
      <c r="D13" s="10" t="s">
        <v>222</v>
      </c>
      <c r="E13" s="10" t="s">
        <v>705</v>
      </c>
      <c r="F13" s="10" t="s">
        <v>706</v>
      </c>
      <c r="G13" s="10" t="s">
        <v>707</v>
      </c>
      <c r="H13" s="10" t="s">
        <v>708</v>
      </c>
      <c r="I13" s="10" t="s">
        <v>604</v>
      </c>
      <c r="J13" s="10" t="s">
        <v>104</v>
      </c>
      <c r="K13" s="10" t="s">
        <v>651</v>
      </c>
      <c r="L13" s="10" t="s">
        <v>655</v>
      </c>
      <c r="M13" s="10" t="s">
        <v>709</v>
      </c>
      <c r="N13" s="10" t="s">
        <v>492</v>
      </c>
      <c r="O13" s="10" t="s">
        <v>382</v>
      </c>
      <c r="P13" s="10" t="s">
        <v>572</v>
      </c>
      <c r="Q13" s="10" t="s">
        <v>710</v>
      </c>
      <c r="R13" s="10" t="s">
        <v>711</v>
      </c>
      <c r="S13" s="10" t="s">
        <v>79</v>
      </c>
      <c r="T13" s="10" t="s">
        <v>640</v>
      </c>
      <c r="U13" s="10" t="s">
        <v>675</v>
      </c>
      <c r="V13" s="10" t="s">
        <v>641</v>
      </c>
      <c r="W13" s="10" t="s">
        <v>641</v>
      </c>
      <c r="X13" s="10" t="s">
        <v>712</v>
      </c>
      <c r="Y13" s="10" t="s">
        <v>713</v>
      </c>
    </row>
    <row r="14" spans="1:25" x14ac:dyDescent="0.2">
      <c r="A14" s="114"/>
    </row>
    <row r="15" spans="1:25" x14ac:dyDescent="0.2">
      <c r="B15">
        <f>B13/B6</f>
        <v>2.0945121951219514</v>
      </c>
      <c r="C15">
        <f t="shared" ref="C15:Y15" si="3">C13/C6</f>
        <v>2.0950060901339831</v>
      </c>
      <c r="D15">
        <f t="shared" si="3"/>
        <v>2.0905923344947737</v>
      </c>
      <c r="E15">
        <f t="shared" si="3"/>
        <v>2.7619047619047619</v>
      </c>
      <c r="F15">
        <f t="shared" si="3"/>
        <v>1.0944580863423132</v>
      </c>
      <c r="G15">
        <f t="shared" si="3"/>
        <v>0.52267588787145358</v>
      </c>
      <c r="H15">
        <f t="shared" si="3"/>
        <v>0.52852086485931937</v>
      </c>
      <c r="I15">
        <f t="shared" si="3"/>
        <v>3.1450381679389312</v>
      </c>
      <c r="J15">
        <f t="shared" si="3"/>
        <v>3.225563909774436</v>
      </c>
      <c r="K15">
        <f t="shared" si="3"/>
        <v>3.2962962962962963</v>
      </c>
      <c r="L15">
        <f t="shared" si="3"/>
        <v>3.4388489208633093</v>
      </c>
      <c r="M15">
        <f t="shared" si="3"/>
        <v>3.4751773049645389</v>
      </c>
      <c r="N15">
        <f t="shared" si="3"/>
        <v>3.5172413793103448</v>
      </c>
      <c r="O15">
        <f t="shared" si="3"/>
        <v>3.5986394557823131</v>
      </c>
      <c r="P15">
        <f t="shared" si="3"/>
        <v>5.2222222222222223</v>
      </c>
      <c r="Q15">
        <f t="shared" si="3"/>
        <v>5.4223602484472053</v>
      </c>
      <c r="R15">
        <f t="shared" si="3"/>
        <v>5.3908045977011492</v>
      </c>
      <c r="S15">
        <f t="shared" si="3"/>
        <v>0.51094342768999879</v>
      </c>
      <c r="T15">
        <f t="shared" si="3"/>
        <v>0.67805173055452173</v>
      </c>
      <c r="U15">
        <f t="shared" si="3"/>
        <v>0.50719367697405882</v>
      </c>
      <c r="V15">
        <f t="shared" si="3"/>
        <v>0.64482649759280208</v>
      </c>
      <c r="W15">
        <f t="shared" si="3"/>
        <v>0.62751699330508581</v>
      </c>
      <c r="X15">
        <f t="shared" si="3"/>
        <v>0.64765293974577243</v>
      </c>
      <c r="Y15">
        <f t="shared" si="3"/>
        <v>1.0869560066579396</v>
      </c>
    </row>
  </sheetData>
  <mergeCells count="4">
    <mergeCell ref="A1:A2"/>
    <mergeCell ref="A5:A6"/>
    <mergeCell ref="A9:A10"/>
    <mergeCell ref="A13:A14"/>
  </mergeCells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6A96E2-EA65-4456-B94C-C8C1463C6445}">
  <dimension ref="A1:AA103"/>
  <sheetViews>
    <sheetView topLeftCell="A25" workbookViewId="0">
      <selection activeCell="A52" sqref="A52"/>
    </sheetView>
  </sheetViews>
  <sheetFormatPr defaultRowHeight="14.25" x14ac:dyDescent="0.2"/>
  <cols>
    <col min="2" max="2" width="13.625" customWidth="1"/>
    <col min="3" max="3" width="14.25" customWidth="1"/>
    <col min="4" max="4" width="14.5" customWidth="1"/>
    <col min="5" max="5" width="15.625" customWidth="1"/>
    <col min="6" max="6" width="13.5" customWidth="1"/>
  </cols>
  <sheetData>
    <row r="1" spans="1:16" x14ac:dyDescent="0.2">
      <c r="A1" s="110" t="s">
        <v>40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</row>
    <row r="2" spans="1:16" x14ac:dyDescent="0.2">
      <c r="A2" t="s">
        <v>41</v>
      </c>
      <c r="B2" t="s">
        <v>42</v>
      </c>
      <c r="C2" t="s">
        <v>43</v>
      </c>
      <c r="D2" t="s">
        <v>44</v>
      </c>
    </row>
    <row r="3" spans="1:16" x14ac:dyDescent="0.2">
      <c r="A3" s="138" t="s">
        <v>45</v>
      </c>
      <c r="B3">
        <v>1</v>
      </c>
      <c r="C3">
        <v>6</v>
      </c>
      <c r="D3">
        <v>5</v>
      </c>
    </row>
    <row r="4" spans="1:16" x14ac:dyDescent="0.2">
      <c r="A4" s="138"/>
      <c r="B4">
        <v>0</v>
      </c>
      <c r="C4">
        <v>1721</v>
      </c>
      <c r="D4">
        <v>0</v>
      </c>
    </row>
    <row r="5" spans="1:16" x14ac:dyDescent="0.2">
      <c r="A5" s="138"/>
      <c r="B5">
        <v>2</v>
      </c>
      <c r="C5">
        <v>1</v>
      </c>
      <c r="D5">
        <v>3413</v>
      </c>
    </row>
    <row r="6" spans="1:16" x14ac:dyDescent="0.2">
      <c r="A6" s="138"/>
    </row>
    <row r="7" spans="1:16" x14ac:dyDescent="0.2">
      <c r="A7" s="138"/>
    </row>
    <row r="8" spans="1:16" x14ac:dyDescent="0.2">
      <c r="A8" s="138"/>
    </row>
    <row r="13" spans="1:16" ht="28.5" x14ac:dyDescent="0.2">
      <c r="B13" t="s">
        <v>42</v>
      </c>
      <c r="C13" t="s">
        <v>43</v>
      </c>
      <c r="D13" t="s">
        <v>714</v>
      </c>
      <c r="F13" t="s">
        <v>42</v>
      </c>
      <c r="G13" s="18" t="s">
        <v>715</v>
      </c>
      <c r="H13" s="18" t="s">
        <v>717</v>
      </c>
      <c r="I13" s="18" t="s">
        <v>716</v>
      </c>
      <c r="N13">
        <v>0</v>
      </c>
      <c r="O13">
        <v>1</v>
      </c>
      <c r="P13">
        <v>2</v>
      </c>
    </row>
    <row r="14" spans="1:16" ht="28.5" x14ac:dyDescent="0.2">
      <c r="B14">
        <v>0</v>
      </c>
      <c r="C14">
        <v>388</v>
      </c>
      <c r="D14">
        <v>0</v>
      </c>
      <c r="F14">
        <v>0</v>
      </c>
      <c r="G14">
        <v>388</v>
      </c>
      <c r="H14">
        <v>0</v>
      </c>
      <c r="I14">
        <v>0</v>
      </c>
      <c r="M14" s="18" t="s">
        <v>715</v>
      </c>
      <c r="N14">
        <v>388</v>
      </c>
      <c r="O14">
        <v>9</v>
      </c>
      <c r="P14">
        <v>1</v>
      </c>
    </row>
    <row r="15" spans="1:16" ht="28.5" x14ac:dyDescent="0.2">
      <c r="B15">
        <v>1</v>
      </c>
      <c r="C15">
        <v>9</v>
      </c>
      <c r="F15">
        <v>1</v>
      </c>
      <c r="G15">
        <v>9</v>
      </c>
      <c r="H15">
        <v>7</v>
      </c>
      <c r="I15">
        <v>871</v>
      </c>
      <c r="J15" s="17">
        <v>0.10630000000000001</v>
      </c>
      <c r="M15" s="18" t="s">
        <v>717</v>
      </c>
      <c r="N15">
        <v>0</v>
      </c>
      <c r="O15">
        <v>7</v>
      </c>
      <c r="P15">
        <v>1</v>
      </c>
    </row>
    <row r="16" spans="1:16" ht="28.5" x14ac:dyDescent="0.2">
      <c r="B16">
        <v>2</v>
      </c>
      <c r="C16">
        <v>3</v>
      </c>
      <c r="D16">
        <v>1324</v>
      </c>
      <c r="F16">
        <v>2</v>
      </c>
      <c r="G16">
        <v>1</v>
      </c>
      <c r="H16">
        <v>1</v>
      </c>
      <c r="I16">
        <v>1324</v>
      </c>
      <c r="J16" s="17">
        <v>0.16159999999999999</v>
      </c>
      <c r="M16" s="18" t="s">
        <v>716</v>
      </c>
      <c r="N16">
        <v>0</v>
      </c>
      <c r="O16">
        <v>871</v>
      </c>
      <c r="P16">
        <v>1324</v>
      </c>
    </row>
    <row r="17" spans="1:27" x14ac:dyDescent="0.2">
      <c r="B17">
        <v>3</v>
      </c>
      <c r="C17">
        <v>2</v>
      </c>
    </row>
    <row r="21" spans="1:27" x14ac:dyDescent="0.2">
      <c r="A21" t="s">
        <v>9</v>
      </c>
    </row>
    <row r="22" spans="1:27" x14ac:dyDescent="0.2">
      <c r="A22" t="s">
        <v>718</v>
      </c>
    </row>
    <row r="23" spans="1:27" x14ac:dyDescent="0.2">
      <c r="D23" s="26" t="s">
        <v>105</v>
      </c>
      <c r="E23" s="26" t="s">
        <v>48</v>
      </c>
      <c r="F23" s="26" t="s">
        <v>49</v>
      </c>
      <c r="G23" s="26" t="s">
        <v>50</v>
      </c>
      <c r="H23" s="26" t="s">
        <v>51</v>
      </c>
      <c r="I23" s="26" t="s">
        <v>52</v>
      </c>
      <c r="J23" s="26" t="s">
        <v>53</v>
      </c>
      <c r="K23" s="35">
        <v>0.01</v>
      </c>
      <c r="L23" s="35">
        <v>0.05</v>
      </c>
      <c r="M23" s="35">
        <v>0.1</v>
      </c>
      <c r="N23" s="35">
        <v>0.2</v>
      </c>
      <c r="O23" s="36">
        <v>0.3</v>
      </c>
      <c r="P23" s="36">
        <v>0.4</v>
      </c>
      <c r="Q23" s="36">
        <v>0.5</v>
      </c>
      <c r="R23" s="36">
        <v>0.6</v>
      </c>
      <c r="S23" s="36">
        <v>0.7</v>
      </c>
      <c r="T23" s="36">
        <v>0.8</v>
      </c>
      <c r="U23" s="36">
        <v>0.9</v>
      </c>
      <c r="V23" s="36">
        <v>0.95</v>
      </c>
      <c r="W23" s="36">
        <v>0.99</v>
      </c>
      <c r="X23" s="35">
        <v>0.995</v>
      </c>
      <c r="Y23" s="35">
        <v>0.999</v>
      </c>
      <c r="Z23" s="35">
        <v>0.99950000000000006</v>
      </c>
      <c r="AA23" s="35">
        <v>0.99990000000000001</v>
      </c>
    </row>
    <row r="24" spans="1:27" x14ac:dyDescent="0.2">
      <c r="B24" s="114"/>
      <c r="C24" t="s">
        <v>61</v>
      </c>
    </row>
    <row r="25" spans="1:27" x14ac:dyDescent="0.2">
      <c r="B25" s="114"/>
      <c r="C25" t="s">
        <v>719</v>
      </c>
    </row>
    <row r="26" spans="1:27" x14ac:dyDescent="0.2">
      <c r="B26" s="114"/>
      <c r="C26" t="s">
        <v>720</v>
      </c>
    </row>
    <row r="28" spans="1:27" x14ac:dyDescent="0.2">
      <c r="B28" s="114" t="s">
        <v>46</v>
      </c>
      <c r="D28" s="26" t="s">
        <v>105</v>
      </c>
      <c r="E28" s="26" t="s">
        <v>48</v>
      </c>
      <c r="F28" s="26" t="s">
        <v>49</v>
      </c>
      <c r="G28" s="26" t="s">
        <v>50</v>
      </c>
      <c r="H28" s="26" t="s">
        <v>51</v>
      </c>
      <c r="I28" s="26" t="s">
        <v>52</v>
      </c>
      <c r="J28" s="26" t="s">
        <v>53</v>
      </c>
      <c r="K28" s="35">
        <v>0.01</v>
      </c>
      <c r="L28" s="35">
        <v>0.05</v>
      </c>
      <c r="M28" s="35">
        <v>0.1</v>
      </c>
      <c r="N28" s="35">
        <v>0.2</v>
      </c>
      <c r="O28" s="36">
        <v>0.3</v>
      </c>
      <c r="P28" s="36">
        <v>0.4</v>
      </c>
      <c r="Q28" s="36">
        <v>0.5</v>
      </c>
      <c r="R28" s="36">
        <v>0.6</v>
      </c>
      <c r="S28" s="36">
        <v>0.7</v>
      </c>
      <c r="T28" s="36">
        <v>0.8</v>
      </c>
      <c r="U28" s="36">
        <v>0.9</v>
      </c>
      <c r="V28" s="36">
        <v>0.95</v>
      </c>
      <c r="W28" s="36">
        <v>0.99</v>
      </c>
      <c r="X28" s="35">
        <v>0.995</v>
      </c>
      <c r="Y28" s="35">
        <v>0.999</v>
      </c>
      <c r="Z28" s="35">
        <v>0.99950000000000006</v>
      </c>
      <c r="AA28" s="35">
        <v>0.99990000000000001</v>
      </c>
    </row>
    <row r="29" spans="1:27" x14ac:dyDescent="0.2">
      <c r="B29" s="114"/>
      <c r="C29" t="s">
        <v>61</v>
      </c>
      <c r="D29" s="39">
        <v>34.700000000000003</v>
      </c>
      <c r="E29" s="39" t="s">
        <v>396</v>
      </c>
      <c r="F29" s="39" t="s">
        <v>397</v>
      </c>
      <c r="G29" s="39" t="s">
        <v>265</v>
      </c>
      <c r="H29" s="39" t="s">
        <v>398</v>
      </c>
      <c r="I29" s="39" t="s">
        <v>399</v>
      </c>
      <c r="J29" s="39" t="s">
        <v>400</v>
      </c>
      <c r="K29" s="39" t="s">
        <v>94</v>
      </c>
      <c r="L29" s="39" t="s">
        <v>94</v>
      </c>
      <c r="M29" s="39" t="s">
        <v>251</v>
      </c>
      <c r="N29" s="39" t="s">
        <v>96</v>
      </c>
      <c r="O29" s="39" t="s">
        <v>96</v>
      </c>
      <c r="P29" s="39" t="s">
        <v>97</v>
      </c>
      <c r="Q29" s="39" t="s">
        <v>97</v>
      </c>
      <c r="R29" s="39" t="s">
        <v>98</v>
      </c>
      <c r="S29" s="39" t="s">
        <v>68</v>
      </c>
      <c r="T29" s="39" t="s">
        <v>86</v>
      </c>
      <c r="U29" s="39" t="s">
        <v>89</v>
      </c>
      <c r="V29" s="39" t="s">
        <v>244</v>
      </c>
      <c r="W29" s="39" t="s">
        <v>128</v>
      </c>
      <c r="X29" s="39" t="s">
        <v>368</v>
      </c>
      <c r="Y29" s="39" t="s">
        <v>401</v>
      </c>
      <c r="Z29" s="39" t="s">
        <v>402</v>
      </c>
      <c r="AA29" s="39" t="s">
        <v>403</v>
      </c>
    </row>
    <row r="30" spans="1:27" x14ac:dyDescent="0.2">
      <c r="B30" s="114"/>
      <c r="C30" t="s">
        <v>719</v>
      </c>
      <c r="D30" s="87">
        <f>D29*0.822</f>
        <v>28.523400000000002</v>
      </c>
      <c r="E30" s="87">
        <f>E29*0.822</f>
        <v>891.87</v>
      </c>
      <c r="F30" s="37" t="s">
        <v>722</v>
      </c>
      <c r="G30" s="37" t="s">
        <v>94</v>
      </c>
      <c r="H30" s="37" t="s">
        <v>723</v>
      </c>
      <c r="I30" s="37" t="s">
        <v>724</v>
      </c>
      <c r="J30" s="37" t="s">
        <v>725</v>
      </c>
      <c r="K30" s="37" t="s">
        <v>251</v>
      </c>
      <c r="L30" s="37" t="s">
        <v>96</v>
      </c>
      <c r="M30" s="37" t="s">
        <v>96</v>
      </c>
      <c r="N30" s="37" t="s">
        <v>98</v>
      </c>
      <c r="O30" s="37" t="s">
        <v>82</v>
      </c>
      <c r="P30" s="37" t="s">
        <v>82</v>
      </c>
      <c r="Q30" s="37" t="s">
        <v>82</v>
      </c>
      <c r="R30" s="37" t="s">
        <v>241</v>
      </c>
      <c r="S30" s="37" t="s">
        <v>241</v>
      </c>
      <c r="T30" s="37" t="s">
        <v>81</v>
      </c>
      <c r="U30" s="37" t="s">
        <v>88</v>
      </c>
      <c r="V30" s="37" t="s">
        <v>71</v>
      </c>
      <c r="W30" s="37" t="s">
        <v>328</v>
      </c>
      <c r="X30" s="37" t="s">
        <v>651</v>
      </c>
      <c r="Y30" s="37" t="s">
        <v>382</v>
      </c>
      <c r="Z30" s="37" t="s">
        <v>726</v>
      </c>
      <c r="AA30" s="37" t="s">
        <v>721</v>
      </c>
    </row>
    <row r="31" spans="1:27" x14ac:dyDescent="0.2">
      <c r="B31" s="114"/>
      <c r="C31" t="s">
        <v>720</v>
      </c>
      <c r="D31" s="42">
        <f>D29*(1-0.211)</f>
        <v>27.378300000000003</v>
      </c>
      <c r="E31" s="42">
        <f>E29*(1-0.211)</f>
        <v>856.06500000000005</v>
      </c>
    </row>
    <row r="34" spans="2:27" x14ac:dyDescent="0.2">
      <c r="B34" s="114" t="s">
        <v>62</v>
      </c>
      <c r="D34" s="82" t="s">
        <v>105</v>
      </c>
      <c r="E34" s="82" t="s">
        <v>48</v>
      </c>
      <c r="F34" s="82" t="s">
        <v>49</v>
      </c>
      <c r="G34" s="82" t="s">
        <v>50</v>
      </c>
      <c r="H34" s="82" t="s">
        <v>51</v>
      </c>
      <c r="I34" s="82" t="s">
        <v>52</v>
      </c>
      <c r="J34" s="82" t="s">
        <v>53</v>
      </c>
      <c r="K34" s="35">
        <v>0.01</v>
      </c>
      <c r="L34" s="35">
        <v>0.05</v>
      </c>
      <c r="M34" s="35">
        <v>0.1</v>
      </c>
      <c r="N34" s="35">
        <v>0.2</v>
      </c>
      <c r="O34" s="36">
        <v>0.3</v>
      </c>
      <c r="P34" s="36">
        <v>0.4</v>
      </c>
      <c r="Q34" s="36">
        <v>0.5</v>
      </c>
      <c r="R34" s="36">
        <v>0.6</v>
      </c>
      <c r="S34" s="36">
        <v>0.7</v>
      </c>
      <c r="T34" s="36">
        <v>0.8</v>
      </c>
      <c r="U34" s="36">
        <v>0.9</v>
      </c>
      <c r="V34" s="36">
        <v>0.95</v>
      </c>
      <c r="W34" s="36">
        <v>0.99</v>
      </c>
      <c r="X34" s="35">
        <v>0.995</v>
      </c>
      <c r="Y34" s="35">
        <v>0.999</v>
      </c>
      <c r="Z34" s="35">
        <v>0.99950000000000006</v>
      </c>
      <c r="AA34" s="35">
        <v>0.99990000000000001</v>
      </c>
    </row>
    <row r="35" spans="2:27" x14ac:dyDescent="0.2">
      <c r="B35" s="114"/>
      <c r="C35" t="s">
        <v>61</v>
      </c>
    </row>
    <row r="36" spans="2:27" x14ac:dyDescent="0.2">
      <c r="B36" s="114"/>
      <c r="C36" t="s">
        <v>719</v>
      </c>
    </row>
    <row r="37" spans="2:27" x14ac:dyDescent="0.2">
      <c r="B37" s="114"/>
      <c r="C37" t="s">
        <v>720</v>
      </c>
    </row>
    <row r="39" spans="2:27" x14ac:dyDescent="0.2">
      <c r="B39" s="114" t="s">
        <v>63</v>
      </c>
      <c r="D39" s="82" t="s">
        <v>105</v>
      </c>
      <c r="E39" s="82" t="s">
        <v>48</v>
      </c>
      <c r="F39" s="82" t="s">
        <v>49</v>
      </c>
      <c r="G39" s="82" t="s">
        <v>50</v>
      </c>
      <c r="H39" s="82" t="s">
        <v>51</v>
      </c>
      <c r="I39" s="82" t="s">
        <v>52</v>
      </c>
      <c r="J39" s="82" t="s">
        <v>53</v>
      </c>
      <c r="K39" s="35">
        <v>0.01</v>
      </c>
      <c r="L39" s="35">
        <v>0.05</v>
      </c>
      <c r="M39" s="35">
        <v>0.1</v>
      </c>
      <c r="N39" s="35">
        <v>0.2</v>
      </c>
      <c r="O39" s="36">
        <v>0.3</v>
      </c>
      <c r="P39" s="36">
        <v>0.4</v>
      </c>
      <c r="Q39" s="36">
        <v>0.5</v>
      </c>
      <c r="R39" s="36">
        <v>0.6</v>
      </c>
      <c r="S39" s="36">
        <v>0.7</v>
      </c>
      <c r="T39" s="36">
        <v>0.8</v>
      </c>
      <c r="U39" s="36">
        <v>0.9</v>
      </c>
      <c r="V39" s="36">
        <v>0.95</v>
      </c>
      <c r="W39" s="36">
        <v>0.99</v>
      </c>
      <c r="X39" s="35">
        <v>0.995</v>
      </c>
      <c r="Y39" s="35">
        <v>0.999</v>
      </c>
      <c r="Z39" s="35">
        <v>0.99950000000000006</v>
      </c>
      <c r="AA39" s="35">
        <v>0.99990000000000001</v>
      </c>
    </row>
    <row r="40" spans="2:27" x14ac:dyDescent="0.2">
      <c r="B40" s="114"/>
      <c r="C40" t="s">
        <v>61</v>
      </c>
      <c r="D40" s="82">
        <v>31.6</v>
      </c>
      <c r="E40" s="82">
        <v>987</v>
      </c>
      <c r="F40" s="82">
        <v>1035</v>
      </c>
      <c r="G40" s="82">
        <v>17</v>
      </c>
      <c r="H40" s="82">
        <v>149</v>
      </c>
      <c r="I40" s="82">
        <v>25.49</v>
      </c>
      <c r="J40" s="82">
        <v>19</v>
      </c>
      <c r="K40" s="82">
        <v>21</v>
      </c>
      <c r="L40" s="82">
        <v>22</v>
      </c>
      <c r="M40" s="82">
        <v>23</v>
      </c>
      <c r="N40" s="82">
        <v>24</v>
      </c>
      <c r="O40" s="82">
        <v>24</v>
      </c>
      <c r="P40" s="82">
        <v>25</v>
      </c>
      <c r="Q40" s="82">
        <v>25</v>
      </c>
      <c r="R40" s="82">
        <v>25</v>
      </c>
      <c r="S40" s="82">
        <v>26</v>
      </c>
      <c r="T40" s="82">
        <v>26</v>
      </c>
      <c r="U40" s="82">
        <v>28</v>
      </c>
      <c r="V40" s="82">
        <v>33</v>
      </c>
      <c r="W40" s="82">
        <v>45</v>
      </c>
      <c r="X40" s="82">
        <v>55</v>
      </c>
      <c r="Y40" s="82">
        <v>66</v>
      </c>
      <c r="Z40" s="82">
        <v>72</v>
      </c>
      <c r="AA40" s="82">
        <v>93</v>
      </c>
    </row>
    <row r="41" spans="2:27" x14ac:dyDescent="0.2">
      <c r="B41" s="114"/>
      <c r="C41" t="s">
        <v>719</v>
      </c>
      <c r="D41" s="42">
        <f>D40*0.857</f>
        <v>27.081199999999999</v>
      </c>
      <c r="E41" s="42">
        <f>E40*0.857</f>
        <v>845.85900000000004</v>
      </c>
    </row>
    <row r="42" spans="2:27" x14ac:dyDescent="0.2">
      <c r="B42" s="114"/>
      <c r="C42" t="s">
        <v>720</v>
      </c>
      <c r="D42" s="42">
        <f>D40*(1-0.186)</f>
        <v>25.722400000000004</v>
      </c>
      <c r="E42" s="42">
        <f>E40*(1-0.186)</f>
        <v>803.41800000000001</v>
      </c>
    </row>
    <row r="45" spans="2:27" x14ac:dyDescent="0.2">
      <c r="B45" s="114" t="s">
        <v>64</v>
      </c>
      <c r="D45" s="82" t="s">
        <v>105</v>
      </c>
      <c r="E45" s="82" t="s">
        <v>48</v>
      </c>
      <c r="F45" s="82" t="s">
        <v>49</v>
      </c>
      <c r="G45" s="82" t="s">
        <v>50</v>
      </c>
      <c r="H45" s="82" t="s">
        <v>51</v>
      </c>
      <c r="I45" s="82" t="s">
        <v>52</v>
      </c>
      <c r="J45" s="82" t="s">
        <v>53</v>
      </c>
      <c r="K45" s="35">
        <v>0.01</v>
      </c>
      <c r="L45" s="35">
        <v>0.05</v>
      </c>
      <c r="M45" s="35">
        <v>0.1</v>
      </c>
      <c r="N45" s="35">
        <v>0.2</v>
      </c>
      <c r="O45" s="36">
        <v>0.3</v>
      </c>
      <c r="P45" s="36">
        <v>0.4</v>
      </c>
      <c r="Q45" s="36">
        <v>0.5</v>
      </c>
      <c r="R45" s="36">
        <v>0.6</v>
      </c>
      <c r="S45" s="36">
        <v>0.7</v>
      </c>
      <c r="T45" s="36">
        <v>0.8</v>
      </c>
      <c r="U45" s="36">
        <v>0.9</v>
      </c>
      <c r="V45" s="36">
        <v>0.95</v>
      </c>
      <c r="W45" s="36">
        <v>0.99</v>
      </c>
      <c r="X45" s="35">
        <v>0.995</v>
      </c>
      <c r="Y45" s="35">
        <v>0.999</v>
      </c>
      <c r="Z45" s="35">
        <v>0.99950000000000006</v>
      </c>
      <c r="AA45" s="35">
        <v>0.99990000000000001</v>
      </c>
    </row>
    <row r="46" spans="2:27" x14ac:dyDescent="0.2">
      <c r="B46" s="114"/>
      <c r="C46" t="s">
        <v>61</v>
      </c>
      <c r="D46" s="83">
        <v>34.700000000000003</v>
      </c>
      <c r="E46" s="83" t="s">
        <v>396</v>
      </c>
      <c r="F46" s="83" t="s">
        <v>553</v>
      </c>
      <c r="G46" s="83" t="s">
        <v>94</v>
      </c>
      <c r="H46" s="83" t="s">
        <v>410</v>
      </c>
      <c r="I46" s="83" t="s">
        <v>573</v>
      </c>
      <c r="J46" s="83"/>
      <c r="K46" s="83" t="s">
        <v>251</v>
      </c>
      <c r="L46" s="83" t="s">
        <v>251</v>
      </c>
      <c r="M46" s="83" t="s">
        <v>96</v>
      </c>
      <c r="N46" s="83" t="s">
        <v>96</v>
      </c>
      <c r="O46" s="83" t="s">
        <v>98</v>
      </c>
      <c r="P46" s="83" t="s">
        <v>241</v>
      </c>
      <c r="Q46" s="83" t="s">
        <v>68</v>
      </c>
      <c r="R46" s="83" t="s">
        <v>86</v>
      </c>
      <c r="S46" s="83" t="s">
        <v>86</v>
      </c>
      <c r="T46" s="83" t="s">
        <v>86</v>
      </c>
      <c r="U46" s="83" t="s">
        <v>88</v>
      </c>
      <c r="V46" s="83" t="s">
        <v>243</v>
      </c>
      <c r="W46" s="83" t="s">
        <v>74</v>
      </c>
      <c r="X46" s="83" t="s">
        <v>378</v>
      </c>
      <c r="Y46" s="83" t="s">
        <v>111</v>
      </c>
      <c r="Z46" s="83" t="s">
        <v>207</v>
      </c>
      <c r="AA46" s="83" t="s">
        <v>380</v>
      </c>
    </row>
    <row r="47" spans="2:27" x14ac:dyDescent="0.2">
      <c r="B47" s="114"/>
      <c r="C47" t="s">
        <v>719</v>
      </c>
      <c r="D47" s="37" t="s">
        <v>81</v>
      </c>
      <c r="E47" s="37" t="s">
        <v>727</v>
      </c>
      <c r="F47" s="37" t="s">
        <v>728</v>
      </c>
      <c r="G47" s="37" t="s">
        <v>268</v>
      </c>
      <c r="H47" s="37" t="s">
        <v>729</v>
      </c>
      <c r="I47" s="37" t="s">
        <v>730</v>
      </c>
      <c r="J47" s="37" t="s">
        <v>731</v>
      </c>
      <c r="K47" s="37" t="s">
        <v>251</v>
      </c>
      <c r="L47" s="37" t="s">
        <v>96</v>
      </c>
      <c r="M47" s="37" t="s">
        <v>97</v>
      </c>
      <c r="N47" s="37" t="s">
        <v>98</v>
      </c>
      <c r="O47" s="37" t="s">
        <v>98</v>
      </c>
      <c r="P47" s="37" t="s">
        <v>98</v>
      </c>
      <c r="Q47" s="37" t="s">
        <v>82</v>
      </c>
      <c r="R47" s="37" t="s">
        <v>82</v>
      </c>
      <c r="S47" s="37" t="s">
        <v>241</v>
      </c>
      <c r="T47" s="37" t="s">
        <v>68</v>
      </c>
      <c r="U47" s="37" t="s">
        <v>242</v>
      </c>
      <c r="V47" s="37" t="s">
        <v>71</v>
      </c>
      <c r="W47" s="37" t="s">
        <v>547</v>
      </c>
      <c r="X47" s="37" t="s">
        <v>651</v>
      </c>
      <c r="Y47" s="37" t="s">
        <v>382</v>
      </c>
      <c r="Z47" s="37" t="s">
        <v>726</v>
      </c>
      <c r="AA47" s="37" t="s">
        <v>732</v>
      </c>
    </row>
    <row r="48" spans="2:27" x14ac:dyDescent="0.2">
      <c r="B48" s="114"/>
      <c r="C48" t="s">
        <v>720</v>
      </c>
      <c r="D48" s="42">
        <f>D46*(1-0.193)</f>
        <v>28.0029</v>
      </c>
      <c r="E48" s="42">
        <f>E46*(1-0.193)</f>
        <v>875.59499999999991</v>
      </c>
    </row>
    <row r="51" spans="1:27" x14ac:dyDescent="0.2">
      <c r="B51" s="114" t="s">
        <v>65</v>
      </c>
      <c r="D51" s="82" t="s">
        <v>105</v>
      </c>
      <c r="E51" s="82" t="s">
        <v>48</v>
      </c>
      <c r="F51" s="82" t="s">
        <v>49</v>
      </c>
      <c r="G51" s="82" t="s">
        <v>50</v>
      </c>
      <c r="H51" s="82" t="s">
        <v>51</v>
      </c>
      <c r="I51" s="82" t="s">
        <v>52</v>
      </c>
      <c r="J51" s="82" t="s">
        <v>53</v>
      </c>
      <c r="K51" s="35">
        <v>0.01</v>
      </c>
      <c r="L51" s="35">
        <v>0.05</v>
      </c>
      <c r="M51" s="35">
        <v>0.1</v>
      </c>
      <c r="N51" s="35">
        <v>0.2</v>
      </c>
      <c r="O51" s="36">
        <v>0.3</v>
      </c>
      <c r="P51" s="36">
        <v>0.4</v>
      </c>
      <c r="Q51" s="36">
        <v>0.5</v>
      </c>
      <c r="R51" s="36">
        <v>0.6</v>
      </c>
      <c r="S51" s="36">
        <v>0.7</v>
      </c>
      <c r="T51" s="36">
        <v>0.8</v>
      </c>
      <c r="U51" s="36">
        <v>0.9</v>
      </c>
      <c r="V51" s="36">
        <v>0.95</v>
      </c>
      <c r="W51" s="36">
        <v>0.99</v>
      </c>
      <c r="X51" s="35">
        <v>0.995</v>
      </c>
      <c r="Y51" s="35">
        <v>0.999</v>
      </c>
      <c r="Z51" s="35">
        <v>0.99950000000000006</v>
      </c>
      <c r="AA51" s="35">
        <v>0.99990000000000001</v>
      </c>
    </row>
    <row r="52" spans="1:27" x14ac:dyDescent="0.2">
      <c r="B52" s="114"/>
      <c r="C52" t="s">
        <v>61</v>
      </c>
      <c r="D52" s="83">
        <v>30.4</v>
      </c>
      <c r="E52" s="83" t="s">
        <v>266</v>
      </c>
      <c r="F52" t="s">
        <v>267</v>
      </c>
      <c r="G52" t="s">
        <v>268</v>
      </c>
      <c r="H52" t="s">
        <v>269</v>
      </c>
      <c r="I52" t="s">
        <v>270</v>
      </c>
      <c r="J52" t="s">
        <v>271</v>
      </c>
      <c r="K52" t="s">
        <v>95</v>
      </c>
      <c r="L52" t="s">
        <v>95</v>
      </c>
      <c r="M52" t="s">
        <v>251</v>
      </c>
      <c r="N52" t="s">
        <v>98</v>
      </c>
      <c r="O52" t="s">
        <v>68</v>
      </c>
      <c r="P52" t="s">
        <v>86</v>
      </c>
      <c r="Q52" t="s">
        <v>88</v>
      </c>
      <c r="R52" t="s">
        <v>242</v>
      </c>
      <c r="S52" t="s">
        <v>243</v>
      </c>
      <c r="T52" t="s">
        <v>252</v>
      </c>
      <c r="U52" t="s">
        <v>244</v>
      </c>
      <c r="V52" t="s">
        <v>71</v>
      </c>
      <c r="W52" t="s">
        <v>106</v>
      </c>
      <c r="X52" t="s">
        <v>193</v>
      </c>
      <c r="Y52" t="s">
        <v>146</v>
      </c>
      <c r="Z52" t="s">
        <v>245</v>
      </c>
      <c r="AA52" t="s">
        <v>272</v>
      </c>
    </row>
    <row r="53" spans="1:27" x14ac:dyDescent="0.2">
      <c r="B53" s="114"/>
      <c r="C53" t="s">
        <v>719</v>
      </c>
      <c r="D53" s="42">
        <f>D52*0.884</f>
        <v>26.8736</v>
      </c>
      <c r="E53" s="83">
        <f>E52*0.882</f>
        <v>837.9</v>
      </c>
    </row>
    <row r="54" spans="1:27" x14ac:dyDescent="0.2">
      <c r="B54" s="114"/>
      <c r="C54" t="s">
        <v>720</v>
      </c>
      <c r="D54" s="42">
        <f>D52*(1-0.174)</f>
        <v>25.110400000000002</v>
      </c>
      <c r="E54" s="83">
        <f>E52*(1-0.174)</f>
        <v>784.7</v>
      </c>
    </row>
    <row r="57" spans="1:27" x14ac:dyDescent="0.2">
      <c r="B57" s="114" t="s">
        <v>66</v>
      </c>
      <c r="D57" s="82" t="s">
        <v>105</v>
      </c>
      <c r="E57" s="82" t="s">
        <v>48</v>
      </c>
      <c r="F57" s="82" t="s">
        <v>49</v>
      </c>
      <c r="G57" s="82" t="s">
        <v>50</v>
      </c>
      <c r="H57" s="82" t="s">
        <v>51</v>
      </c>
      <c r="I57" s="82" t="s">
        <v>52</v>
      </c>
      <c r="J57" s="82" t="s">
        <v>53</v>
      </c>
      <c r="K57" s="35">
        <v>0.01</v>
      </c>
      <c r="L57" s="35">
        <v>0.05</v>
      </c>
      <c r="M57" s="35">
        <v>0.1</v>
      </c>
      <c r="N57" s="35">
        <v>0.2</v>
      </c>
      <c r="O57" s="36">
        <v>0.3</v>
      </c>
      <c r="P57" s="36">
        <v>0.4</v>
      </c>
      <c r="Q57" s="36">
        <v>0.5</v>
      </c>
      <c r="R57" s="36">
        <v>0.6</v>
      </c>
      <c r="S57" s="36">
        <v>0.7</v>
      </c>
      <c r="T57" s="36">
        <v>0.8</v>
      </c>
      <c r="U57" s="36">
        <v>0.9</v>
      </c>
      <c r="V57" s="36">
        <v>0.95</v>
      </c>
      <c r="W57" s="36">
        <v>0.99</v>
      </c>
      <c r="X57" s="35">
        <v>0.995</v>
      </c>
      <c r="Y57" s="35">
        <v>0.999</v>
      </c>
      <c r="Z57" s="35">
        <v>0.99950000000000006</v>
      </c>
      <c r="AA57" s="35">
        <v>0.99990000000000001</v>
      </c>
    </row>
    <row r="58" spans="1:27" x14ac:dyDescent="0.2">
      <c r="B58" s="114"/>
      <c r="C58" t="s">
        <v>61</v>
      </c>
      <c r="D58" s="83">
        <v>31.4</v>
      </c>
      <c r="E58" s="83" t="s">
        <v>511</v>
      </c>
      <c r="F58" t="s">
        <v>512</v>
      </c>
      <c r="G58" t="s">
        <v>94</v>
      </c>
      <c r="H58" t="s">
        <v>513</v>
      </c>
      <c r="I58" t="s">
        <v>514</v>
      </c>
      <c r="J58" t="s">
        <v>515</v>
      </c>
      <c r="K58" t="s">
        <v>96</v>
      </c>
      <c r="L58" t="s">
        <v>96</v>
      </c>
      <c r="M58" t="s">
        <v>97</v>
      </c>
      <c r="N58" t="s">
        <v>97</v>
      </c>
      <c r="O58" t="s">
        <v>68</v>
      </c>
      <c r="P58" t="s">
        <v>86</v>
      </c>
      <c r="Q58" t="s">
        <v>87</v>
      </c>
      <c r="R58" t="s">
        <v>87</v>
      </c>
      <c r="S58" t="s">
        <v>88</v>
      </c>
      <c r="T58" t="s">
        <v>88</v>
      </c>
      <c r="U58" t="s">
        <v>89</v>
      </c>
      <c r="V58" t="s">
        <v>254</v>
      </c>
      <c r="W58" t="s">
        <v>368</v>
      </c>
      <c r="X58" t="s">
        <v>169</v>
      </c>
      <c r="Y58" t="s">
        <v>171</v>
      </c>
      <c r="Z58" t="s">
        <v>516</v>
      </c>
      <c r="AA58" t="s">
        <v>403</v>
      </c>
    </row>
    <row r="59" spans="1:27" x14ac:dyDescent="0.2">
      <c r="B59" s="114"/>
      <c r="C59" t="s">
        <v>719</v>
      </c>
      <c r="D59" s="42">
        <f>D58*0.88</f>
        <v>27.631999999999998</v>
      </c>
      <c r="E59" s="42">
        <f>E58*0.879</f>
        <v>862.29899999999998</v>
      </c>
    </row>
    <row r="60" spans="1:27" x14ac:dyDescent="0.2">
      <c r="B60" s="114"/>
      <c r="C60" t="s">
        <v>720</v>
      </c>
      <c r="D60" s="42">
        <f>D58*(1-0.1793)</f>
        <v>25.769979999999997</v>
      </c>
      <c r="E60" s="42">
        <f>E58*(1-0.1793)</f>
        <v>805.10669999999993</v>
      </c>
    </row>
    <row r="64" spans="1:27" x14ac:dyDescent="0.2">
      <c r="A64" t="s">
        <v>733</v>
      </c>
    </row>
    <row r="66" spans="2:27" x14ac:dyDescent="0.2">
      <c r="D66" s="82" t="s">
        <v>105</v>
      </c>
      <c r="E66" s="82" t="s">
        <v>48</v>
      </c>
      <c r="F66" s="82" t="s">
        <v>49</v>
      </c>
      <c r="G66" s="82" t="s">
        <v>50</v>
      </c>
      <c r="H66" s="82" t="s">
        <v>51</v>
      </c>
      <c r="I66" s="82" t="s">
        <v>52</v>
      </c>
      <c r="J66" s="82" t="s">
        <v>53</v>
      </c>
      <c r="K66" s="35">
        <v>0.01</v>
      </c>
      <c r="L66" s="35">
        <v>0.05</v>
      </c>
      <c r="M66" s="35">
        <v>0.1</v>
      </c>
      <c r="N66" s="35">
        <v>0.2</v>
      </c>
      <c r="O66" s="36">
        <v>0.3</v>
      </c>
      <c r="P66" s="36">
        <v>0.4</v>
      </c>
      <c r="Q66" s="36">
        <v>0.5</v>
      </c>
      <c r="R66" s="36">
        <v>0.6</v>
      </c>
      <c r="S66" s="36">
        <v>0.7</v>
      </c>
      <c r="T66" s="36">
        <v>0.8</v>
      </c>
      <c r="U66" s="36">
        <v>0.9</v>
      </c>
      <c r="V66" s="36">
        <v>0.95</v>
      </c>
      <c r="W66" s="36">
        <v>0.99</v>
      </c>
      <c r="X66" s="35">
        <v>0.995</v>
      </c>
      <c r="Y66" s="35">
        <v>0.999</v>
      </c>
      <c r="Z66" s="35">
        <v>0.99950000000000006</v>
      </c>
      <c r="AA66" s="35">
        <v>0.99990000000000001</v>
      </c>
    </row>
    <row r="67" spans="2:27" x14ac:dyDescent="0.2">
      <c r="B67" s="114"/>
      <c r="C67" t="s">
        <v>61</v>
      </c>
    </row>
    <row r="68" spans="2:27" x14ac:dyDescent="0.2">
      <c r="B68" s="114"/>
      <c r="C68" t="s">
        <v>719</v>
      </c>
    </row>
    <row r="69" spans="2:27" x14ac:dyDescent="0.2">
      <c r="B69" s="114"/>
      <c r="C69" t="s">
        <v>720</v>
      </c>
    </row>
    <row r="71" spans="2:27" x14ac:dyDescent="0.2">
      <c r="B71" s="114" t="s">
        <v>46</v>
      </c>
      <c r="D71" s="82" t="s">
        <v>105</v>
      </c>
      <c r="E71" s="82" t="s">
        <v>48</v>
      </c>
      <c r="F71" s="82" t="s">
        <v>49</v>
      </c>
      <c r="G71" s="82" t="s">
        <v>50</v>
      </c>
      <c r="H71" s="82" t="s">
        <v>51</v>
      </c>
      <c r="I71" s="82" t="s">
        <v>52</v>
      </c>
      <c r="J71" s="82" t="s">
        <v>53</v>
      </c>
      <c r="K71" s="35">
        <v>0.01</v>
      </c>
      <c r="L71" s="35">
        <v>0.05</v>
      </c>
      <c r="M71" s="35">
        <v>0.1</v>
      </c>
      <c r="N71" s="35">
        <v>0.2</v>
      </c>
      <c r="O71" s="36">
        <v>0.3</v>
      </c>
      <c r="P71" s="36">
        <v>0.4</v>
      </c>
      <c r="Q71" s="36">
        <v>0.5</v>
      </c>
      <c r="R71" s="36">
        <v>0.6</v>
      </c>
      <c r="S71" s="36">
        <v>0.7</v>
      </c>
      <c r="T71" s="36">
        <v>0.8</v>
      </c>
      <c r="U71" s="36">
        <v>0.9</v>
      </c>
      <c r="V71" s="36">
        <v>0.95</v>
      </c>
      <c r="W71" s="36">
        <v>0.99</v>
      </c>
      <c r="X71" s="35">
        <v>0.995</v>
      </c>
      <c r="Y71" s="35">
        <v>0.999</v>
      </c>
      <c r="Z71" s="35">
        <v>0.99950000000000006</v>
      </c>
      <c r="AA71" s="35">
        <v>0.99990000000000001</v>
      </c>
    </row>
    <row r="72" spans="2:27" x14ac:dyDescent="0.2">
      <c r="B72" s="114"/>
      <c r="C72" t="s">
        <v>61</v>
      </c>
      <c r="D72" s="50">
        <v>37.6</v>
      </c>
      <c r="E72" s="50" t="s">
        <v>391</v>
      </c>
      <c r="F72" s="50" t="s">
        <v>392</v>
      </c>
      <c r="G72" s="50" t="s">
        <v>265</v>
      </c>
      <c r="H72" s="50" t="s">
        <v>393</v>
      </c>
      <c r="I72" s="50" t="s">
        <v>394</v>
      </c>
      <c r="J72" s="50"/>
      <c r="K72" s="50" t="s">
        <v>94</v>
      </c>
      <c r="L72" s="50" t="s">
        <v>251</v>
      </c>
      <c r="M72" s="50" t="s">
        <v>96</v>
      </c>
      <c r="N72" s="50" t="s">
        <v>96</v>
      </c>
      <c r="O72" s="50" t="s">
        <v>96</v>
      </c>
      <c r="P72" s="50" t="s">
        <v>96</v>
      </c>
      <c r="Q72" s="50" t="s">
        <v>97</v>
      </c>
      <c r="R72" s="50" t="s">
        <v>98</v>
      </c>
      <c r="S72" s="50" t="s">
        <v>82</v>
      </c>
      <c r="T72" s="50" t="s">
        <v>81</v>
      </c>
      <c r="U72" s="50" t="s">
        <v>87</v>
      </c>
      <c r="V72" s="50" t="s">
        <v>88</v>
      </c>
      <c r="W72" s="50" t="s">
        <v>72</v>
      </c>
      <c r="X72" s="50" t="s">
        <v>378</v>
      </c>
      <c r="Y72" s="50" t="s">
        <v>110</v>
      </c>
      <c r="Z72" s="50" t="s">
        <v>145</v>
      </c>
      <c r="AA72" s="50" t="s">
        <v>395</v>
      </c>
    </row>
    <row r="73" spans="2:27" x14ac:dyDescent="0.2">
      <c r="B73" s="114"/>
      <c r="C73" t="s">
        <v>719</v>
      </c>
      <c r="D73" s="87">
        <f>D72*(1-0.1761)</f>
        <v>30.978639999999999</v>
      </c>
      <c r="E73" s="87">
        <f>E72*(1-0.1761)</f>
        <v>967.2586</v>
      </c>
      <c r="F73" s="37"/>
      <c r="G73" s="37"/>
      <c r="H73" s="37"/>
      <c r="I73" s="37"/>
      <c r="J73" s="37"/>
      <c r="K73" s="37"/>
      <c r="L73" s="37"/>
      <c r="M73" s="37"/>
      <c r="N73" s="37"/>
      <c r="O73" s="37"/>
      <c r="P73" s="37"/>
      <c r="Q73" s="37"/>
      <c r="R73" s="37"/>
      <c r="S73" s="37"/>
      <c r="T73" s="37"/>
      <c r="U73" s="37"/>
      <c r="V73" s="37"/>
      <c r="W73" s="37"/>
      <c r="X73" s="37"/>
      <c r="Y73" s="37"/>
      <c r="Z73" s="37"/>
      <c r="AA73" s="37"/>
    </row>
    <row r="74" spans="2:27" x14ac:dyDescent="0.2">
      <c r="B74" s="114"/>
      <c r="C74" t="s">
        <v>720</v>
      </c>
      <c r="D74" s="42">
        <f>D72*(1-0.1985)</f>
        <v>30.136400000000002</v>
      </c>
      <c r="E74" s="42">
        <f>E72*(1-0.1985)</f>
        <v>940.96100000000001</v>
      </c>
    </row>
    <row r="77" spans="2:27" x14ac:dyDescent="0.2">
      <c r="B77" s="114" t="s">
        <v>62</v>
      </c>
      <c r="D77" s="82" t="s">
        <v>105</v>
      </c>
      <c r="E77" s="82" t="s">
        <v>48</v>
      </c>
      <c r="F77" s="82" t="s">
        <v>49</v>
      </c>
      <c r="G77" s="82" t="s">
        <v>50</v>
      </c>
      <c r="H77" s="82" t="s">
        <v>51</v>
      </c>
      <c r="I77" s="82" t="s">
        <v>52</v>
      </c>
      <c r="J77" s="82" t="s">
        <v>53</v>
      </c>
      <c r="K77" s="35">
        <v>0.01</v>
      </c>
      <c r="L77" s="35">
        <v>0.05</v>
      </c>
      <c r="M77" s="35">
        <v>0.1</v>
      </c>
      <c r="N77" s="35">
        <v>0.2</v>
      </c>
      <c r="O77" s="36">
        <v>0.3</v>
      </c>
      <c r="P77" s="36">
        <v>0.4</v>
      </c>
      <c r="Q77" s="36">
        <v>0.5</v>
      </c>
      <c r="R77" s="36">
        <v>0.6</v>
      </c>
      <c r="S77" s="36">
        <v>0.7</v>
      </c>
      <c r="T77" s="36">
        <v>0.8</v>
      </c>
      <c r="U77" s="36">
        <v>0.9</v>
      </c>
      <c r="V77" s="36">
        <v>0.95</v>
      </c>
      <c r="W77" s="36">
        <v>0.99</v>
      </c>
      <c r="X77" s="35">
        <v>0.995</v>
      </c>
      <c r="Y77" s="35">
        <v>0.999</v>
      </c>
      <c r="Z77" s="35">
        <v>0.99950000000000006</v>
      </c>
      <c r="AA77" s="35">
        <v>0.99990000000000001</v>
      </c>
    </row>
    <row r="78" spans="2:27" x14ac:dyDescent="0.2">
      <c r="B78" s="114"/>
      <c r="C78" t="s">
        <v>61</v>
      </c>
    </row>
    <row r="79" spans="2:27" x14ac:dyDescent="0.2">
      <c r="B79" s="114"/>
      <c r="C79" t="s">
        <v>719</v>
      </c>
    </row>
    <row r="80" spans="2:27" x14ac:dyDescent="0.2">
      <c r="B80" s="114"/>
      <c r="C80" t="s">
        <v>720</v>
      </c>
    </row>
    <row r="82" spans="2:27" x14ac:dyDescent="0.2">
      <c r="B82" s="114" t="s">
        <v>63</v>
      </c>
      <c r="D82" s="82" t="s">
        <v>105</v>
      </c>
      <c r="E82" s="82" t="s">
        <v>48</v>
      </c>
      <c r="F82" s="82" t="s">
        <v>49</v>
      </c>
      <c r="G82" s="82" t="s">
        <v>50</v>
      </c>
      <c r="H82" s="82" t="s">
        <v>51</v>
      </c>
      <c r="I82" s="82" t="s">
        <v>52</v>
      </c>
      <c r="J82" s="82" t="s">
        <v>53</v>
      </c>
      <c r="K82" s="35">
        <v>0.01</v>
      </c>
      <c r="L82" s="35">
        <v>0.05</v>
      </c>
      <c r="M82" s="35">
        <v>0.1</v>
      </c>
      <c r="N82" s="35">
        <v>0.2</v>
      </c>
      <c r="O82" s="36">
        <v>0.3</v>
      </c>
      <c r="P82" s="36">
        <v>0.4</v>
      </c>
      <c r="Q82" s="36">
        <v>0.5</v>
      </c>
      <c r="R82" s="36">
        <v>0.6</v>
      </c>
      <c r="S82" s="36">
        <v>0.7</v>
      </c>
      <c r="T82" s="36">
        <v>0.8</v>
      </c>
      <c r="U82" s="36">
        <v>0.9</v>
      </c>
      <c r="V82" s="36">
        <v>0.95</v>
      </c>
      <c r="W82" s="36">
        <v>0.99</v>
      </c>
      <c r="X82" s="35">
        <v>0.995</v>
      </c>
      <c r="Y82" s="35">
        <v>0.999</v>
      </c>
      <c r="Z82" s="35">
        <v>0.99950000000000006</v>
      </c>
      <c r="AA82" s="35">
        <v>0.99990000000000001</v>
      </c>
    </row>
    <row r="83" spans="2:27" x14ac:dyDescent="0.2">
      <c r="B83" s="114"/>
      <c r="C83" t="s">
        <v>61</v>
      </c>
      <c r="D83" s="82">
        <v>35.799999999999997</v>
      </c>
      <c r="E83" s="82" t="s">
        <v>474</v>
      </c>
      <c r="F83" s="82" t="s">
        <v>475</v>
      </c>
      <c r="G83" s="82" t="s">
        <v>265</v>
      </c>
      <c r="H83" s="82" t="s">
        <v>476</v>
      </c>
      <c r="I83" s="82" t="s">
        <v>477</v>
      </c>
      <c r="J83" s="82"/>
      <c r="K83" s="82" t="s">
        <v>95</v>
      </c>
      <c r="L83" s="82" t="s">
        <v>251</v>
      </c>
      <c r="M83" s="82" t="s">
        <v>251</v>
      </c>
      <c r="N83" s="82" t="s">
        <v>96</v>
      </c>
      <c r="O83" s="82" t="s">
        <v>97</v>
      </c>
      <c r="P83" s="82" t="s">
        <v>97</v>
      </c>
      <c r="Q83" s="82" t="s">
        <v>82</v>
      </c>
      <c r="R83" s="82" t="s">
        <v>81</v>
      </c>
      <c r="S83" s="82" t="s">
        <v>86</v>
      </c>
      <c r="T83" s="82" t="s">
        <v>87</v>
      </c>
      <c r="U83" s="82" t="s">
        <v>88</v>
      </c>
      <c r="V83" s="82" t="s">
        <v>243</v>
      </c>
      <c r="W83" s="82" t="s">
        <v>74</v>
      </c>
      <c r="X83" s="82" t="s">
        <v>233</v>
      </c>
      <c r="Y83" s="82" t="s">
        <v>110</v>
      </c>
      <c r="Z83" s="82" t="s">
        <v>115</v>
      </c>
      <c r="AA83" s="82" t="s">
        <v>476</v>
      </c>
    </row>
    <row r="84" spans="2:27" x14ac:dyDescent="0.2">
      <c r="B84" s="114"/>
      <c r="C84" t="s">
        <v>719</v>
      </c>
      <c r="D84" s="42">
        <f>D83*(1-0.14551)</f>
        <v>30.590741999999995</v>
      </c>
      <c r="E84" s="42">
        <f>E83*(1-0.14551)</f>
        <v>955.31981999999994</v>
      </c>
    </row>
    <row r="85" spans="2:27" x14ac:dyDescent="0.2">
      <c r="B85" s="114"/>
      <c r="C85" t="s">
        <v>720</v>
      </c>
    </row>
    <row r="88" spans="2:27" x14ac:dyDescent="0.2">
      <c r="B88" s="114" t="s">
        <v>64</v>
      </c>
      <c r="D88" s="82" t="s">
        <v>105</v>
      </c>
      <c r="E88" s="82" t="s">
        <v>48</v>
      </c>
      <c r="F88" s="82" t="s">
        <v>49</v>
      </c>
      <c r="G88" s="82" t="s">
        <v>50</v>
      </c>
      <c r="H88" s="82" t="s">
        <v>51</v>
      </c>
      <c r="I88" s="82" t="s">
        <v>52</v>
      </c>
      <c r="J88" s="82" t="s">
        <v>53</v>
      </c>
      <c r="K88" s="35">
        <v>0.01</v>
      </c>
      <c r="L88" s="35">
        <v>0.05</v>
      </c>
      <c r="M88" s="35">
        <v>0.1</v>
      </c>
      <c r="N88" s="35">
        <v>0.2</v>
      </c>
      <c r="O88" s="36">
        <v>0.3</v>
      </c>
      <c r="P88" s="36">
        <v>0.4</v>
      </c>
      <c r="Q88" s="36">
        <v>0.5</v>
      </c>
      <c r="R88" s="36">
        <v>0.6</v>
      </c>
      <c r="S88" s="36">
        <v>0.7</v>
      </c>
      <c r="T88" s="36">
        <v>0.8</v>
      </c>
      <c r="U88" s="36">
        <v>0.9</v>
      </c>
      <c r="V88" s="36">
        <v>0.95</v>
      </c>
      <c r="W88" s="36">
        <v>0.99</v>
      </c>
      <c r="X88" s="35">
        <v>0.995</v>
      </c>
      <c r="Y88" s="35">
        <v>0.999</v>
      </c>
      <c r="Z88" s="35">
        <v>0.99950000000000006</v>
      </c>
      <c r="AA88" s="35">
        <v>0.99990000000000001</v>
      </c>
    </row>
    <row r="89" spans="2:27" x14ac:dyDescent="0.2">
      <c r="B89" s="114"/>
      <c r="C89" t="s">
        <v>61</v>
      </c>
      <c r="D89" s="83">
        <v>34.700000000000003</v>
      </c>
      <c r="E89" s="83" t="s">
        <v>396</v>
      </c>
      <c r="F89" t="s">
        <v>553</v>
      </c>
      <c r="G89" t="s">
        <v>268</v>
      </c>
      <c r="H89" t="s">
        <v>554</v>
      </c>
      <c r="I89" t="s">
        <v>555</v>
      </c>
      <c r="K89" t="s">
        <v>251</v>
      </c>
      <c r="L89" t="s">
        <v>96</v>
      </c>
      <c r="M89" t="s">
        <v>96</v>
      </c>
      <c r="N89" t="s">
        <v>98</v>
      </c>
      <c r="O89" t="s">
        <v>98</v>
      </c>
      <c r="P89" t="s">
        <v>82</v>
      </c>
      <c r="Q89" t="s">
        <v>241</v>
      </c>
      <c r="R89" t="s">
        <v>86</v>
      </c>
      <c r="S89" t="s">
        <v>87</v>
      </c>
      <c r="T89" t="s">
        <v>87</v>
      </c>
      <c r="U89" t="s">
        <v>88</v>
      </c>
      <c r="V89" t="s">
        <v>89</v>
      </c>
      <c r="W89" t="s">
        <v>255</v>
      </c>
      <c r="X89" t="s">
        <v>378</v>
      </c>
      <c r="Y89" t="s">
        <v>107</v>
      </c>
      <c r="Z89" t="s">
        <v>145</v>
      </c>
      <c r="AA89" t="s">
        <v>141</v>
      </c>
    </row>
    <row r="90" spans="2:27" x14ac:dyDescent="0.2">
      <c r="B90" s="114"/>
      <c r="C90" t="s">
        <v>719</v>
      </c>
      <c r="D90" s="37" t="s">
        <v>68</v>
      </c>
      <c r="E90" s="37" t="s">
        <v>734</v>
      </c>
      <c r="F90" s="10" t="s">
        <v>735</v>
      </c>
      <c r="G90" s="10" t="s">
        <v>250</v>
      </c>
      <c r="H90" s="10" t="s">
        <v>736</v>
      </c>
      <c r="I90" s="10" t="s">
        <v>737</v>
      </c>
      <c r="J90" s="10"/>
      <c r="K90" s="10" t="s">
        <v>268</v>
      </c>
      <c r="L90" s="10" t="s">
        <v>96</v>
      </c>
      <c r="M90" s="10" t="s">
        <v>97</v>
      </c>
      <c r="N90" s="10" t="s">
        <v>97</v>
      </c>
      <c r="O90" s="10" t="s">
        <v>81</v>
      </c>
      <c r="P90" s="10" t="s">
        <v>87</v>
      </c>
      <c r="Q90" s="10" t="s">
        <v>89</v>
      </c>
      <c r="R90" s="10" t="s">
        <v>243</v>
      </c>
      <c r="S90" s="10" t="s">
        <v>252</v>
      </c>
      <c r="T90" s="10" t="s">
        <v>244</v>
      </c>
      <c r="U90" s="10" t="s">
        <v>72</v>
      </c>
      <c r="V90" s="10" t="s">
        <v>307</v>
      </c>
      <c r="W90" s="10" t="s">
        <v>108</v>
      </c>
      <c r="X90" s="10" t="s">
        <v>77</v>
      </c>
      <c r="Y90" s="10" t="s">
        <v>166</v>
      </c>
      <c r="Z90" s="10" t="s">
        <v>130</v>
      </c>
      <c r="AA90" s="10" t="s">
        <v>738</v>
      </c>
    </row>
    <row r="91" spans="2:27" x14ac:dyDescent="0.2">
      <c r="B91" s="114"/>
      <c r="C91" t="s">
        <v>720</v>
      </c>
      <c r="D91" s="42">
        <f>D89*(1-0.188)</f>
        <v>28.176400000000005</v>
      </c>
      <c r="E91" s="42">
        <f>E89*(1-0.188)</f>
        <v>881.0200000000001</v>
      </c>
    </row>
    <row r="94" spans="2:27" x14ac:dyDescent="0.2">
      <c r="B94" s="114" t="s">
        <v>65</v>
      </c>
      <c r="D94" s="82" t="s">
        <v>105</v>
      </c>
      <c r="E94" s="82" t="s">
        <v>48</v>
      </c>
      <c r="F94" s="82" t="s">
        <v>49</v>
      </c>
      <c r="G94" s="82" t="s">
        <v>50</v>
      </c>
      <c r="H94" s="82" t="s">
        <v>51</v>
      </c>
      <c r="I94" s="82" t="s">
        <v>52</v>
      </c>
      <c r="J94" s="82" t="s">
        <v>53</v>
      </c>
      <c r="K94" s="35">
        <v>0.01</v>
      </c>
      <c r="L94" s="35">
        <v>0.05</v>
      </c>
      <c r="M94" s="35">
        <v>0.1</v>
      </c>
      <c r="N94" s="35">
        <v>0.2</v>
      </c>
      <c r="O94" s="36">
        <v>0.3</v>
      </c>
      <c r="P94" s="36">
        <v>0.4</v>
      </c>
      <c r="Q94" s="36">
        <v>0.5</v>
      </c>
      <c r="R94" s="36">
        <v>0.6</v>
      </c>
      <c r="S94" s="36">
        <v>0.7</v>
      </c>
      <c r="T94" s="36">
        <v>0.8</v>
      </c>
      <c r="U94" s="36">
        <v>0.9</v>
      </c>
      <c r="V94" s="36">
        <v>0.95</v>
      </c>
      <c r="W94" s="36">
        <v>0.99</v>
      </c>
      <c r="X94" s="35">
        <v>0.995</v>
      </c>
      <c r="Y94" s="35">
        <v>0.999</v>
      </c>
      <c r="Z94" s="35">
        <v>0.99950000000000006</v>
      </c>
      <c r="AA94" s="35">
        <v>0.99990000000000001</v>
      </c>
    </row>
    <row r="95" spans="2:27" x14ac:dyDescent="0.2">
      <c r="B95" s="114"/>
      <c r="C95" t="s">
        <v>61</v>
      </c>
      <c r="D95" s="83">
        <v>34.4</v>
      </c>
      <c r="E95" s="83" t="s">
        <v>296</v>
      </c>
      <c r="F95" t="s">
        <v>297</v>
      </c>
      <c r="G95" t="s">
        <v>265</v>
      </c>
      <c r="H95" t="s">
        <v>298</v>
      </c>
      <c r="I95" t="s">
        <v>299</v>
      </c>
      <c r="J95" t="s">
        <v>300</v>
      </c>
      <c r="K95" t="s">
        <v>95</v>
      </c>
      <c r="L95" t="s">
        <v>251</v>
      </c>
      <c r="M95" t="s">
        <v>97</v>
      </c>
      <c r="N95" t="s">
        <v>98</v>
      </c>
      <c r="O95" t="s">
        <v>98</v>
      </c>
      <c r="P95" t="s">
        <v>82</v>
      </c>
      <c r="Q95" t="s">
        <v>241</v>
      </c>
      <c r="R95" t="s">
        <v>81</v>
      </c>
      <c r="S95" t="s">
        <v>68</v>
      </c>
      <c r="T95" t="s">
        <v>86</v>
      </c>
      <c r="U95" t="s">
        <v>242</v>
      </c>
      <c r="V95" t="s">
        <v>254</v>
      </c>
      <c r="W95" t="s">
        <v>301</v>
      </c>
      <c r="X95" t="s">
        <v>223</v>
      </c>
      <c r="Y95" t="s">
        <v>114</v>
      </c>
      <c r="Z95" t="s">
        <v>165</v>
      </c>
      <c r="AA95" t="s">
        <v>99</v>
      </c>
    </row>
    <row r="96" spans="2:27" x14ac:dyDescent="0.2">
      <c r="B96" s="114"/>
      <c r="C96" t="s">
        <v>719</v>
      </c>
      <c r="D96" s="42">
        <f>D95*(1-0.112)</f>
        <v>30.5472</v>
      </c>
      <c r="E96" s="42">
        <f>E95*(1-0.112)</f>
        <v>955.48800000000006</v>
      </c>
    </row>
    <row r="97" spans="2:27" x14ac:dyDescent="0.2">
      <c r="B97" s="114"/>
      <c r="C97" t="s">
        <v>720</v>
      </c>
      <c r="D97" s="42">
        <f>D95*(1-0.169)</f>
        <v>28.586399999999998</v>
      </c>
      <c r="E97" s="42">
        <f>E95*(1-0.169)</f>
        <v>894.15599999999995</v>
      </c>
    </row>
    <row r="100" spans="2:27" x14ac:dyDescent="0.2">
      <c r="B100" s="114" t="s">
        <v>66</v>
      </c>
      <c r="D100" s="82" t="s">
        <v>105</v>
      </c>
      <c r="E100" s="82" t="s">
        <v>48</v>
      </c>
      <c r="F100" s="82" t="s">
        <v>49</v>
      </c>
      <c r="G100" s="82" t="s">
        <v>50</v>
      </c>
      <c r="H100" s="82" t="s">
        <v>51</v>
      </c>
      <c r="I100" s="82" t="s">
        <v>52</v>
      </c>
      <c r="J100" s="82" t="s">
        <v>53</v>
      </c>
      <c r="K100" s="35">
        <v>0.01</v>
      </c>
      <c r="L100" s="35">
        <v>0.05</v>
      </c>
      <c r="M100" s="35">
        <v>0.1</v>
      </c>
      <c r="N100" s="35">
        <v>0.2</v>
      </c>
      <c r="O100" s="36">
        <v>0.3</v>
      </c>
      <c r="P100" s="36">
        <v>0.4</v>
      </c>
      <c r="Q100" s="36">
        <v>0.5</v>
      </c>
      <c r="R100" s="36">
        <v>0.6</v>
      </c>
      <c r="S100" s="36">
        <v>0.7</v>
      </c>
      <c r="T100" s="36">
        <v>0.8</v>
      </c>
      <c r="U100" s="36">
        <v>0.9</v>
      </c>
      <c r="V100" s="36">
        <v>0.95</v>
      </c>
      <c r="W100" s="36">
        <v>0.99</v>
      </c>
      <c r="X100" s="35">
        <v>0.995</v>
      </c>
      <c r="Y100" s="35">
        <v>0.999</v>
      </c>
      <c r="Z100" s="35">
        <v>0.99950000000000006</v>
      </c>
      <c r="AA100" s="35">
        <v>0.99990000000000001</v>
      </c>
    </row>
    <row r="101" spans="2:27" x14ac:dyDescent="0.2">
      <c r="B101" s="114"/>
      <c r="C101" t="s">
        <v>61</v>
      </c>
      <c r="D101" s="83">
        <v>34.9</v>
      </c>
      <c r="E101" s="83" t="s">
        <v>517</v>
      </c>
      <c r="F101" t="s">
        <v>518</v>
      </c>
      <c r="G101" t="s">
        <v>265</v>
      </c>
      <c r="H101" t="s">
        <v>519</v>
      </c>
      <c r="I101" t="s">
        <v>520</v>
      </c>
      <c r="J101" t="s">
        <v>521</v>
      </c>
      <c r="K101" t="s">
        <v>95</v>
      </c>
      <c r="L101" t="s">
        <v>96</v>
      </c>
      <c r="M101" t="s">
        <v>96</v>
      </c>
      <c r="N101" t="s">
        <v>96</v>
      </c>
      <c r="O101" t="s">
        <v>96</v>
      </c>
      <c r="P101" t="s">
        <v>97</v>
      </c>
      <c r="Q101" t="s">
        <v>98</v>
      </c>
      <c r="R101" t="s">
        <v>82</v>
      </c>
      <c r="S101" t="s">
        <v>81</v>
      </c>
      <c r="T101" t="s">
        <v>86</v>
      </c>
      <c r="U101" t="s">
        <v>88</v>
      </c>
      <c r="V101" t="s">
        <v>69</v>
      </c>
      <c r="W101" t="s">
        <v>342</v>
      </c>
      <c r="X101" t="s">
        <v>130</v>
      </c>
      <c r="Y101" t="s">
        <v>401</v>
      </c>
      <c r="Z101" t="s">
        <v>171</v>
      </c>
      <c r="AA101" t="s">
        <v>519</v>
      </c>
    </row>
    <row r="102" spans="2:27" x14ac:dyDescent="0.2">
      <c r="B102" s="114"/>
      <c r="C102" t="s">
        <v>719</v>
      </c>
      <c r="D102" s="42">
        <f>D101*(1-0.113)</f>
        <v>30.956299999999999</v>
      </c>
      <c r="E102" s="42">
        <f>E101*(1-0.113)</f>
        <v>965.94299999999998</v>
      </c>
    </row>
    <row r="103" spans="2:27" x14ac:dyDescent="0.2">
      <c r="B103" s="114"/>
      <c r="C103" t="s">
        <v>720</v>
      </c>
      <c r="D103" s="42">
        <f>D101*(1-0.171)</f>
        <v>28.932099999999998</v>
      </c>
      <c r="E103" s="42">
        <f>E101*(1-0.171)</f>
        <v>902.78099999999995</v>
      </c>
    </row>
  </sheetData>
  <mergeCells count="16">
    <mergeCell ref="A1:N1"/>
    <mergeCell ref="A3:A8"/>
    <mergeCell ref="B28:B31"/>
    <mergeCell ref="B24:B26"/>
    <mergeCell ref="B34:B37"/>
    <mergeCell ref="B39:B42"/>
    <mergeCell ref="B45:B48"/>
    <mergeCell ref="B51:B54"/>
    <mergeCell ref="B57:B60"/>
    <mergeCell ref="B67:B69"/>
    <mergeCell ref="B100:B103"/>
    <mergeCell ref="B71:B74"/>
    <mergeCell ref="B77:B80"/>
    <mergeCell ref="B82:B85"/>
    <mergeCell ref="B88:B91"/>
    <mergeCell ref="B94:B97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Sheet1</vt:lpstr>
      <vt:lpstr>高并发读性能对比</vt:lpstr>
      <vt:lpstr>不同workload写性能</vt:lpstr>
      <vt:lpstr>Sheet2</vt:lpstr>
      <vt:lpstr>Balloon-ZNS</vt:lpstr>
      <vt:lpstr>学习索引accuracy和内存占用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朱蔚霖</dc:creator>
  <cp:lastModifiedBy>朱蔚霖</cp:lastModifiedBy>
  <dcterms:created xsi:type="dcterms:W3CDTF">2024-10-25T03:45:52Z</dcterms:created>
  <dcterms:modified xsi:type="dcterms:W3CDTF">2025-01-10T20:20:06Z</dcterms:modified>
</cp:coreProperties>
</file>